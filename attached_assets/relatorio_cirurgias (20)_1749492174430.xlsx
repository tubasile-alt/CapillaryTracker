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Usuários\Arthur\Desktop\"/>
    </mc:Choice>
  </mc:AlternateContent>
  <xr:revisionPtr revIDLastSave="0" documentId="8_{4E5E06D0-882D-4E67-BA6E-388FDA1C81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rsao final ribeira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2" i="3"/>
  <c r="AS2" i="3"/>
  <c r="AS4" i="3"/>
  <c r="AR4" i="3"/>
  <c r="AS3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R3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2" i="3"/>
</calcChain>
</file>

<file path=xl/sharedStrings.xml><?xml version="1.0" encoding="utf-8"?>
<sst xmlns="http://schemas.openxmlformats.org/spreadsheetml/2006/main" count="402" uniqueCount="131">
  <si>
    <t>data</t>
  </si>
  <si>
    <t>nome</t>
  </si>
  <si>
    <t>unidade</t>
  </si>
  <si>
    <t>medico</t>
  </si>
  <si>
    <t>equipe</t>
  </si>
  <si>
    <t>hora_cirurgia</t>
  </si>
  <si>
    <t>tempo_cirurgia</t>
  </si>
  <si>
    <t>total_foliculos</t>
  </si>
  <si>
    <t>frente</t>
  </si>
  <si>
    <t>densidade_scketh</t>
  </si>
  <si>
    <t>coroa</t>
  </si>
  <si>
    <t>scalpe</t>
  </si>
  <si>
    <t>peninsula_direita</t>
  </si>
  <si>
    <t>peninsula_esquerda</t>
  </si>
  <si>
    <t>infiltracao</t>
  </si>
  <si>
    <t>tadalafila</t>
  </si>
  <si>
    <t>bloqueio_seringas</t>
  </si>
  <si>
    <t>fonte_1</t>
  </si>
  <si>
    <t>fonte_2</t>
  </si>
  <si>
    <t>fonte_3</t>
  </si>
  <si>
    <t>fonte_4</t>
  </si>
  <si>
    <t>fonte_5</t>
  </si>
  <si>
    <t>pelos_corporais</t>
  </si>
  <si>
    <t>tecnica</t>
  </si>
  <si>
    <t>solucao_frente</t>
  </si>
  <si>
    <t>q1_area</t>
  </si>
  <si>
    <t>q1_furos</t>
  </si>
  <si>
    <t>q1_fios</t>
  </si>
  <si>
    <t>q1_densidade</t>
  </si>
  <si>
    <t>q1_taxa_quebra</t>
  </si>
  <si>
    <t>q2_area</t>
  </si>
  <si>
    <t>q2_furos</t>
  </si>
  <si>
    <t>q2_fios</t>
  </si>
  <si>
    <t>q2_densidade</t>
  </si>
  <si>
    <t>q2_taxa_quebra</t>
  </si>
  <si>
    <t>q3_area</t>
  </si>
  <si>
    <t>q3_furos</t>
  </si>
  <si>
    <t>q3_fios</t>
  </si>
  <si>
    <t>q3_densidade</t>
  </si>
  <si>
    <t>q3_taxa_quebra</t>
  </si>
  <si>
    <t>q4_area</t>
  </si>
  <si>
    <t>q4_furos</t>
  </si>
  <si>
    <t>q4_fios</t>
  </si>
  <si>
    <t>q4_densidade</t>
  </si>
  <si>
    <t>q4_taxa_quebra</t>
  </si>
  <si>
    <t>densidade_extracao</t>
  </si>
  <si>
    <t>created_at</t>
  </si>
  <si>
    <t>07:00</t>
  </si>
  <si>
    <t>Ribeirão Preto</t>
  </si>
  <si>
    <t>Dr. Arthur</t>
  </si>
  <si>
    <t>Aline</t>
  </si>
  <si>
    <t>08:00</t>
  </si>
  <si>
    <t>Dr. Daniel</t>
  </si>
  <si>
    <t>Julio Vieira de Araujo</t>
  </si>
  <si>
    <t>Eduardo Moura Filho</t>
  </si>
  <si>
    <t>Silvio David Guidastre Junior</t>
  </si>
  <si>
    <t>Cleber Galhardi</t>
  </si>
  <si>
    <t>Pedro Henrique Siqueira de Oliveira</t>
  </si>
  <si>
    <t>Felipe Gattaz Kawano</t>
  </si>
  <si>
    <t xml:space="preserve">Matheus Henrique da Silva Magalhaes </t>
  </si>
  <si>
    <t>Leandro Luiz Lima Zaparoli</t>
  </si>
  <si>
    <t xml:space="preserve">Darci Vanderlei Lopes </t>
  </si>
  <si>
    <t xml:space="preserve">Daniel Dias dos Santos </t>
  </si>
  <si>
    <t>Fernando Faria</t>
  </si>
  <si>
    <t xml:space="preserve">Joao Pedro Zani Coeti </t>
  </si>
  <si>
    <t>Marcelo Antonio Nunes</t>
  </si>
  <si>
    <t>Maicon Ferreira Martins</t>
  </si>
  <si>
    <t xml:space="preserve">Almir Ferreira </t>
  </si>
  <si>
    <t>07:30</t>
  </si>
  <si>
    <t>Gustavo Henrique Sigoline</t>
  </si>
  <si>
    <t>Santiago Barbosa Ambrosio</t>
  </si>
  <si>
    <t>Antonio Borges Junior</t>
  </si>
  <si>
    <t>LUCAS BORGES DE MELO</t>
  </si>
  <si>
    <t>MARCUS VINICIUS GALLO DE FRANÇA</t>
  </si>
  <si>
    <t>Ana</t>
  </si>
  <si>
    <t>WENDEL FERREIRA BENTO</t>
  </si>
  <si>
    <t>Joao Victor de Angelis Marchi</t>
  </si>
  <si>
    <t>Laerte Alves Junior</t>
  </si>
  <si>
    <t>Aldair Ferreira Lopes</t>
  </si>
  <si>
    <t>Caio Pimenta Junqueira</t>
  </si>
  <si>
    <t>MAICON RIOS DE SOUZA</t>
  </si>
  <si>
    <t>RAINILMO HONORATO DOS SANTOS</t>
  </si>
  <si>
    <t>JEAN LEANDRO SILVA ELEUTERIO</t>
  </si>
  <si>
    <t>JOAO VITOR SOLDI MANAIA</t>
  </si>
  <si>
    <t>THIAGO FLAUSINO</t>
  </si>
  <si>
    <t xml:space="preserve">Sergio Coimbra Borges </t>
  </si>
  <si>
    <t>Daniel de Souza Mores</t>
  </si>
  <si>
    <t xml:space="preserve">Raphael Francisco Galante </t>
  </si>
  <si>
    <t>Tiago Gouveia Tiberio</t>
  </si>
  <si>
    <t xml:space="preserve">Ronaldo Rodrigues dos santos </t>
  </si>
  <si>
    <t>Jose Luis Salatiel Perli</t>
  </si>
  <si>
    <t>Lucas Pimenta de Souza Sposito</t>
  </si>
  <si>
    <t>Carlos Rodrigo Leominio</t>
  </si>
  <si>
    <t>Iago Sepulveda Rodrigues</t>
  </si>
  <si>
    <t>Leandro Giovane da Silva</t>
  </si>
  <si>
    <t>Jeronimo Antonio Ferreira</t>
  </si>
  <si>
    <t>Valdinei Marcos da Costa</t>
  </si>
  <si>
    <t>Luiz Ricardo Lopes</t>
  </si>
  <si>
    <t>Roni Leandro da Conceiçao</t>
  </si>
  <si>
    <t>Filipe Tonelli</t>
  </si>
  <si>
    <t>Jose Sergio Souza</t>
  </si>
  <si>
    <t>Marcos Vinicius Orlandi Castro</t>
  </si>
  <si>
    <t>Bruno Arantes</t>
  </si>
  <si>
    <t>Renato Sillos Campolongo</t>
  </si>
  <si>
    <t xml:space="preserve">Gerson Gomes Araújo </t>
  </si>
  <si>
    <t>Eduardo Aldo Belo da Silva</t>
  </si>
  <si>
    <t xml:space="preserve">Anderson Elias de Souza </t>
  </si>
  <si>
    <t>Luiz Henrique de Oliveira Pádua</t>
  </si>
  <si>
    <t>Aline, Natália, Ana, Lavínia  (extra)</t>
  </si>
  <si>
    <t>Adriano Augusto Ferreira Miqueleto</t>
  </si>
  <si>
    <t>Douglas Vinícius Tochio</t>
  </si>
  <si>
    <t>Aline, Natália, Ana</t>
  </si>
  <si>
    <t>Thiago Domingos Chicarelli</t>
  </si>
  <si>
    <t>Darcilio Maester Neto</t>
  </si>
  <si>
    <t>Ana, angelica  (extra), larissa (extra)</t>
  </si>
  <si>
    <t>Lucas Evandro de Melo</t>
  </si>
  <si>
    <t>Eduardo Roncaglia de Carvalho</t>
  </si>
  <si>
    <t>Aline, Natália, thamara (extra)</t>
  </si>
  <si>
    <t>Alan Ribeiro de Paula</t>
  </si>
  <si>
    <t xml:space="preserve">Lucas Colleoni Ruaro </t>
  </si>
  <si>
    <t xml:space="preserve">Rodolfo Carola </t>
  </si>
  <si>
    <t xml:space="preserve">Pedro Rafael de Almeida Picaccio </t>
  </si>
  <si>
    <t xml:space="preserve">Douglas Rodrigues Costa </t>
  </si>
  <si>
    <t>José Antônio Tonetto Neto</t>
  </si>
  <si>
    <t>Weslei Diego Pavini</t>
  </si>
  <si>
    <t xml:space="preserve">Maurício Ronaldo Ribeiro </t>
  </si>
  <si>
    <t>adnan jamil el homoui</t>
  </si>
  <si>
    <t>Aline, Natália, Ana, thamara (extra)</t>
  </si>
  <si>
    <t>Jonas Galatti Carbonera</t>
  </si>
  <si>
    <t>Hygor Henrique Bonfante</t>
  </si>
  <si>
    <t>Thago Alves de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</si>
</sst>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A4D8-BDC5-4E8C-B613-1DFB6DE74CE3}">
  <dimension ref="A1:AU72"/>
  <sheetViews>
    <sheetView tabSelected="1" workbookViewId="0">
      <selection activeCell="Z9" sqref="Z9"/>
    </sheetView>
  </sheetViews>
  <sheetFormatPr defaultRowHeight="15" x14ac:dyDescent="0.25"/>
  <cols>
    <col min="1" max="1" width="10.7109375" style="1" bestFit="1" customWidth="1"/>
    <col min="44" max="44" width="13.5703125" customWidth="1"/>
    <col min="46" max="46" width="21.42578125" customWidth="1"/>
    <col min="47" max="47" width="10.7109375" style="1" bestFit="1" customWidth="1"/>
  </cols>
  <sheetData>
    <row r="1" spans="1:4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1" t="s">
        <v>46</v>
      </c>
    </row>
    <row r="2" spans="1:47" x14ac:dyDescent="0.25">
      <c r="A2" s="1">
        <v>45797</v>
      </c>
      <c r="B2" t="s">
        <v>53</v>
      </c>
      <c r="C2" t="s">
        <v>48</v>
      </c>
      <c r="D2" t="s">
        <v>49</v>
      </c>
      <c r="E2" t="s">
        <v>50</v>
      </c>
      <c r="F2" t="s">
        <v>47</v>
      </c>
      <c r="G2">
        <v>5</v>
      </c>
      <c r="H2">
        <v>3436</v>
      </c>
      <c r="I2">
        <v>1864</v>
      </c>
      <c r="J2">
        <v>68</v>
      </c>
      <c r="K2">
        <v>882</v>
      </c>
      <c r="L2">
        <v>445</v>
      </c>
      <c r="M2">
        <v>110</v>
      </c>
      <c r="N2">
        <v>135</v>
      </c>
      <c r="Z2">
        <v>56</v>
      </c>
      <c r="AA2">
        <v>1150</v>
      </c>
      <c r="AB2">
        <v>556</v>
      </c>
      <c r="AC2">
        <f>AA2/Z2</f>
        <v>20.535714285714285</v>
      </c>
      <c r="AD2" s="2">
        <f>(AA2-AB2)/AA2</f>
        <v>0.51652173913043475</v>
      </c>
      <c r="AE2">
        <v>56</v>
      </c>
      <c r="AF2">
        <v>1150</v>
      </c>
      <c r="AG2">
        <v>1064</v>
      </c>
      <c r="AH2">
        <f>AF2/AE2</f>
        <v>20.535714285714285</v>
      </c>
      <c r="AI2" s="2">
        <f>(AF2-AG2)/AF2</f>
        <v>7.4782608695652175E-2</v>
      </c>
      <c r="AJ2">
        <v>60</v>
      </c>
      <c r="AK2">
        <v>1250</v>
      </c>
      <c r="AL2">
        <v>1166</v>
      </c>
      <c r="AM2">
        <f>AK2/AJ2</f>
        <v>20.833333333333332</v>
      </c>
      <c r="AN2" s="2">
        <f>(AK2-AL2)/AK2</f>
        <v>6.7199999999999996E-2</v>
      </c>
      <c r="AO2">
        <v>52</v>
      </c>
      <c r="AP2">
        <v>700</v>
      </c>
      <c r="AQ2">
        <v>650</v>
      </c>
      <c r="AR2">
        <f>AP2/AO2</f>
        <v>13.461538461538462</v>
      </c>
      <c r="AS2" s="2">
        <f>(AP2-AQ2)/AP2</f>
        <v>7.1428571428571425E-2</v>
      </c>
      <c r="AT2">
        <v>0</v>
      </c>
      <c r="AU2" s="1">
        <v>45803.663251937382</v>
      </c>
    </row>
    <row r="3" spans="1:47" x14ac:dyDescent="0.25">
      <c r="A3" s="1">
        <v>45797</v>
      </c>
      <c r="B3" t="s">
        <v>54</v>
      </c>
      <c r="C3" t="s">
        <v>48</v>
      </c>
      <c r="D3" t="s">
        <v>49</v>
      </c>
      <c r="E3" t="s">
        <v>50</v>
      </c>
      <c r="F3" t="s">
        <v>51</v>
      </c>
      <c r="G3">
        <v>6</v>
      </c>
      <c r="H3">
        <v>3723</v>
      </c>
      <c r="I3">
        <v>3723</v>
      </c>
      <c r="J3">
        <v>100</v>
      </c>
      <c r="K3">
        <v>0</v>
      </c>
      <c r="L3">
        <v>0</v>
      </c>
      <c r="M3">
        <v>240</v>
      </c>
      <c r="N3">
        <v>195</v>
      </c>
      <c r="Z3">
        <v>52</v>
      </c>
      <c r="AA3">
        <v>1450</v>
      </c>
      <c r="AB3">
        <v>500</v>
      </c>
      <c r="AC3">
        <f t="shared" ref="AC3:AC66" si="0">AA3/Z3</f>
        <v>27.884615384615383</v>
      </c>
      <c r="AD3" s="2">
        <f t="shared" ref="AD3:AD66" si="1">(AA3-AB3)/AA3</f>
        <v>0.65517241379310343</v>
      </c>
      <c r="AE3">
        <v>81</v>
      </c>
      <c r="AF3">
        <v>1450</v>
      </c>
      <c r="AG3">
        <v>1320</v>
      </c>
      <c r="AH3">
        <f t="shared" ref="AH3:AH66" si="2">AF3/AE3</f>
        <v>17.901234567901234</v>
      </c>
      <c r="AI3" s="2">
        <f t="shared" ref="AI3:AI66" si="3">(AF3-AG3)/AF3</f>
        <v>8.9655172413793102E-2</v>
      </c>
      <c r="AJ3">
        <v>81</v>
      </c>
      <c r="AK3">
        <v>1500</v>
      </c>
      <c r="AL3">
        <v>1300</v>
      </c>
      <c r="AM3">
        <f t="shared" ref="AM3:AM66" si="4">AK3/AJ3</f>
        <v>18.518518518518519</v>
      </c>
      <c r="AN3" s="2">
        <f t="shared" ref="AN3:AN66" si="5">(AK3-AL3)/AK3</f>
        <v>0.13333333333333333</v>
      </c>
      <c r="AO3">
        <v>56</v>
      </c>
      <c r="AP3">
        <v>750</v>
      </c>
      <c r="AQ3">
        <v>603</v>
      </c>
      <c r="AR3">
        <f t="shared" ref="AR3:AR66" si="6">AP3/AO3</f>
        <v>13.392857142857142</v>
      </c>
      <c r="AS3" s="2">
        <f t="shared" ref="AS3:AS66" si="7">(AP3-AQ3)/AP3</f>
        <v>0.19600000000000001</v>
      </c>
      <c r="AT3">
        <v>0</v>
      </c>
      <c r="AU3" s="1">
        <v>45803.665938731319</v>
      </c>
    </row>
    <row r="4" spans="1:47" x14ac:dyDescent="0.25">
      <c r="A4" s="1">
        <v>45796</v>
      </c>
      <c r="B4" t="s">
        <v>55</v>
      </c>
      <c r="C4" t="s">
        <v>48</v>
      </c>
      <c r="D4" t="s">
        <v>52</v>
      </c>
      <c r="E4" t="s">
        <v>50</v>
      </c>
      <c r="F4" t="s">
        <v>47</v>
      </c>
      <c r="G4">
        <v>6</v>
      </c>
      <c r="H4">
        <v>4021</v>
      </c>
      <c r="I4">
        <v>2510</v>
      </c>
      <c r="J4">
        <v>109</v>
      </c>
      <c r="K4">
        <v>986</v>
      </c>
      <c r="L4">
        <v>320</v>
      </c>
      <c r="M4">
        <v>75</v>
      </c>
      <c r="N4">
        <v>130</v>
      </c>
      <c r="Z4">
        <v>60</v>
      </c>
      <c r="AA4">
        <v>1350</v>
      </c>
      <c r="AB4">
        <v>791</v>
      </c>
      <c r="AC4">
        <f t="shared" si="0"/>
        <v>22.5</v>
      </c>
      <c r="AD4" s="2">
        <f t="shared" si="1"/>
        <v>0.41407407407407409</v>
      </c>
      <c r="AE4">
        <v>90</v>
      </c>
      <c r="AF4">
        <v>1350</v>
      </c>
      <c r="AG4">
        <v>1221</v>
      </c>
      <c r="AH4">
        <f t="shared" si="2"/>
        <v>15</v>
      </c>
      <c r="AI4" s="2">
        <f t="shared" si="3"/>
        <v>9.555555555555556E-2</v>
      </c>
      <c r="AJ4">
        <v>85.5</v>
      </c>
      <c r="AK4">
        <v>1400</v>
      </c>
      <c r="AL4">
        <v>1365</v>
      </c>
      <c r="AM4">
        <f t="shared" si="4"/>
        <v>16.374269005847953</v>
      </c>
      <c r="AN4" s="2">
        <f t="shared" si="5"/>
        <v>2.5000000000000001E-2</v>
      </c>
      <c r="AO4">
        <v>56</v>
      </c>
      <c r="AP4">
        <v>700</v>
      </c>
      <c r="AQ4">
        <v>644</v>
      </c>
      <c r="AR4">
        <f t="shared" si="6"/>
        <v>12.5</v>
      </c>
      <c r="AS4" s="2">
        <f t="shared" si="7"/>
        <v>0.08</v>
      </c>
      <c r="AT4">
        <v>0</v>
      </c>
      <c r="AU4" s="1">
        <v>45803.580352632744</v>
      </c>
    </row>
    <row r="5" spans="1:47" x14ac:dyDescent="0.25">
      <c r="A5" s="1">
        <v>45796</v>
      </c>
      <c r="B5" t="s">
        <v>56</v>
      </c>
      <c r="C5" t="s">
        <v>48</v>
      </c>
      <c r="D5" t="s">
        <v>49</v>
      </c>
      <c r="E5" t="s">
        <v>50</v>
      </c>
      <c r="F5" t="s">
        <v>51</v>
      </c>
      <c r="G5">
        <v>6</v>
      </c>
      <c r="H5">
        <v>3258</v>
      </c>
      <c r="I5">
        <v>900</v>
      </c>
      <c r="J5">
        <v>33</v>
      </c>
      <c r="K5">
        <v>2358</v>
      </c>
      <c r="L5">
        <v>0</v>
      </c>
      <c r="M5">
        <v>0</v>
      </c>
      <c r="N5">
        <v>90</v>
      </c>
      <c r="Z5">
        <v>52</v>
      </c>
      <c r="AA5">
        <v>1250</v>
      </c>
      <c r="AB5">
        <v>463</v>
      </c>
      <c r="AC5">
        <f t="shared" si="0"/>
        <v>24.03846153846154</v>
      </c>
      <c r="AD5" s="2">
        <f t="shared" si="1"/>
        <v>0.62960000000000005</v>
      </c>
      <c r="AE5">
        <v>71.25</v>
      </c>
      <c r="AF5">
        <v>1250</v>
      </c>
      <c r="AG5">
        <v>1225</v>
      </c>
      <c r="AH5">
        <f t="shared" si="2"/>
        <v>17.543859649122808</v>
      </c>
      <c r="AI5" s="2">
        <f t="shared" si="3"/>
        <v>0.02</v>
      </c>
      <c r="AJ5">
        <v>72</v>
      </c>
      <c r="AK5">
        <v>1150</v>
      </c>
      <c r="AL5">
        <v>1110</v>
      </c>
      <c r="AM5">
        <f t="shared" si="4"/>
        <v>15.972222222222221</v>
      </c>
      <c r="AN5" s="2">
        <f t="shared" si="5"/>
        <v>3.4782608695652174E-2</v>
      </c>
      <c r="AO5">
        <v>52.5</v>
      </c>
      <c r="AP5">
        <v>500</v>
      </c>
      <c r="AQ5">
        <v>460</v>
      </c>
      <c r="AR5">
        <f t="shared" si="6"/>
        <v>9.5238095238095237</v>
      </c>
      <c r="AS5" s="2">
        <f t="shared" si="7"/>
        <v>0.08</v>
      </c>
      <c r="AT5">
        <v>0</v>
      </c>
      <c r="AU5" s="1">
        <v>45803.660581609431</v>
      </c>
    </row>
    <row r="6" spans="1:47" x14ac:dyDescent="0.25">
      <c r="A6" s="1">
        <v>45793</v>
      </c>
      <c r="B6" t="s">
        <v>57</v>
      </c>
      <c r="C6" t="s">
        <v>48</v>
      </c>
      <c r="D6" t="s">
        <v>52</v>
      </c>
      <c r="E6" t="s">
        <v>50</v>
      </c>
      <c r="F6" t="s">
        <v>47</v>
      </c>
      <c r="G6">
        <v>8</v>
      </c>
      <c r="H6">
        <v>4075</v>
      </c>
      <c r="I6">
        <v>2760</v>
      </c>
      <c r="J6">
        <v>92</v>
      </c>
      <c r="K6">
        <v>0</v>
      </c>
      <c r="L6">
        <v>0</v>
      </c>
      <c r="M6">
        <v>635</v>
      </c>
      <c r="N6">
        <v>680</v>
      </c>
      <c r="Z6">
        <v>48</v>
      </c>
      <c r="AA6">
        <v>1500</v>
      </c>
      <c r="AB6">
        <v>603</v>
      </c>
      <c r="AC6">
        <f t="shared" si="0"/>
        <v>31.25</v>
      </c>
      <c r="AD6" s="2">
        <f t="shared" si="1"/>
        <v>0.59799999999999998</v>
      </c>
      <c r="AE6">
        <v>85</v>
      </c>
      <c r="AF6">
        <v>1500</v>
      </c>
      <c r="AG6">
        <v>1382</v>
      </c>
      <c r="AH6">
        <f t="shared" si="2"/>
        <v>17.647058823529413</v>
      </c>
      <c r="AI6" s="2">
        <f t="shared" si="3"/>
        <v>7.8666666666666663E-2</v>
      </c>
      <c r="AJ6">
        <v>85</v>
      </c>
      <c r="AK6">
        <v>1500</v>
      </c>
      <c r="AL6">
        <v>1368</v>
      </c>
      <c r="AM6">
        <f t="shared" si="4"/>
        <v>17.647058823529413</v>
      </c>
      <c r="AN6" s="2">
        <f t="shared" si="5"/>
        <v>8.7999999999999995E-2</v>
      </c>
      <c r="AO6">
        <v>48</v>
      </c>
      <c r="AP6">
        <v>800</v>
      </c>
      <c r="AQ6">
        <v>722</v>
      </c>
      <c r="AR6">
        <f t="shared" si="6"/>
        <v>16.666666666666668</v>
      </c>
      <c r="AS6" s="2">
        <f t="shared" si="7"/>
        <v>9.7500000000000003E-2</v>
      </c>
      <c r="AT6">
        <v>0</v>
      </c>
      <c r="AU6" s="1">
        <v>45803.574066443143</v>
      </c>
    </row>
    <row r="7" spans="1:47" x14ac:dyDescent="0.25">
      <c r="A7" s="1">
        <v>45793</v>
      </c>
      <c r="B7" t="s">
        <v>58</v>
      </c>
      <c r="C7" t="s">
        <v>48</v>
      </c>
      <c r="D7" t="s">
        <v>49</v>
      </c>
      <c r="E7" t="s">
        <v>50</v>
      </c>
      <c r="F7" t="s">
        <v>51</v>
      </c>
      <c r="G7">
        <v>9</v>
      </c>
      <c r="H7">
        <v>4008</v>
      </c>
      <c r="I7">
        <v>3518</v>
      </c>
      <c r="J7">
        <v>75</v>
      </c>
      <c r="K7">
        <v>0</v>
      </c>
      <c r="L7">
        <v>0</v>
      </c>
      <c r="M7">
        <v>240</v>
      </c>
      <c r="N7">
        <v>250</v>
      </c>
      <c r="Z7">
        <v>52.5</v>
      </c>
      <c r="AA7">
        <v>1500</v>
      </c>
      <c r="AB7">
        <v>460</v>
      </c>
      <c r="AC7">
        <f t="shared" si="0"/>
        <v>28.571428571428573</v>
      </c>
      <c r="AD7" s="2">
        <f t="shared" si="1"/>
        <v>0.69333333333333336</v>
      </c>
      <c r="AE7">
        <v>68</v>
      </c>
      <c r="AF7">
        <v>1500</v>
      </c>
      <c r="AG7">
        <v>1381</v>
      </c>
      <c r="AH7">
        <f t="shared" si="2"/>
        <v>22.058823529411764</v>
      </c>
      <c r="AI7" s="2">
        <f t="shared" si="3"/>
        <v>7.9333333333333339E-2</v>
      </c>
      <c r="AJ7">
        <v>68</v>
      </c>
      <c r="AK7">
        <v>1450</v>
      </c>
      <c r="AL7">
        <v>1354</v>
      </c>
      <c r="AM7">
        <f t="shared" si="4"/>
        <v>21.323529411764707</v>
      </c>
      <c r="AN7" s="2">
        <f t="shared" si="5"/>
        <v>6.620689655172414E-2</v>
      </c>
      <c r="AO7">
        <v>56</v>
      </c>
      <c r="AP7">
        <v>900</v>
      </c>
      <c r="AQ7">
        <v>813</v>
      </c>
      <c r="AR7">
        <f t="shared" si="6"/>
        <v>16.071428571428573</v>
      </c>
      <c r="AS7" s="2">
        <f t="shared" si="7"/>
        <v>9.6666666666666665E-2</v>
      </c>
      <c r="AT7">
        <v>0</v>
      </c>
      <c r="AU7" s="1">
        <v>45803.577483696507</v>
      </c>
    </row>
    <row r="8" spans="1:47" x14ac:dyDescent="0.25">
      <c r="A8" s="1">
        <v>45792</v>
      </c>
      <c r="B8" t="s">
        <v>59</v>
      </c>
      <c r="C8" t="s">
        <v>48</v>
      </c>
      <c r="D8" t="s">
        <v>52</v>
      </c>
      <c r="E8" t="s">
        <v>50</v>
      </c>
      <c r="F8" t="s">
        <v>47</v>
      </c>
      <c r="G8">
        <v>7</v>
      </c>
      <c r="H8">
        <v>3730</v>
      </c>
      <c r="I8">
        <v>3485</v>
      </c>
      <c r="J8">
        <v>80</v>
      </c>
      <c r="K8">
        <v>0</v>
      </c>
      <c r="L8">
        <v>0</v>
      </c>
      <c r="M8">
        <v>115</v>
      </c>
      <c r="N8">
        <v>130</v>
      </c>
      <c r="Z8">
        <v>43</v>
      </c>
      <c r="AA8">
        <v>1450</v>
      </c>
      <c r="AB8">
        <v>602</v>
      </c>
      <c r="AC8">
        <f t="shared" si="0"/>
        <v>33.720930232558139</v>
      </c>
      <c r="AD8" s="2">
        <f t="shared" si="1"/>
        <v>0.58482758620689657</v>
      </c>
      <c r="AE8">
        <v>0</v>
      </c>
      <c r="AF8">
        <v>1450</v>
      </c>
      <c r="AG8">
        <v>1245</v>
      </c>
      <c r="AH8" t="e">
        <f t="shared" si="2"/>
        <v>#DIV/0!</v>
      </c>
      <c r="AI8" s="2">
        <f t="shared" si="3"/>
        <v>0.14137931034482759</v>
      </c>
      <c r="AJ8">
        <v>0</v>
      </c>
      <c r="AK8">
        <v>1450</v>
      </c>
      <c r="AL8">
        <v>1242</v>
      </c>
      <c r="AM8" t="e">
        <f t="shared" si="4"/>
        <v>#DIV/0!</v>
      </c>
      <c r="AN8" s="2">
        <f t="shared" si="5"/>
        <v>0.14344827586206896</v>
      </c>
      <c r="AO8">
        <v>0</v>
      </c>
      <c r="AP8">
        <v>750</v>
      </c>
      <c r="AQ8">
        <v>641</v>
      </c>
      <c r="AR8" t="e">
        <f t="shared" si="6"/>
        <v>#DIV/0!</v>
      </c>
      <c r="AS8" s="2">
        <f t="shared" si="7"/>
        <v>0.14533333333333334</v>
      </c>
      <c r="AT8">
        <v>0</v>
      </c>
      <c r="AU8" s="1">
        <v>45803.564731924816</v>
      </c>
    </row>
    <row r="9" spans="1:47" x14ac:dyDescent="0.25">
      <c r="A9" s="1">
        <v>45792</v>
      </c>
      <c r="B9" t="s">
        <v>60</v>
      </c>
      <c r="C9" t="s">
        <v>48</v>
      </c>
      <c r="D9" t="s">
        <v>49</v>
      </c>
      <c r="E9" t="s">
        <v>50</v>
      </c>
      <c r="F9" t="s">
        <v>51</v>
      </c>
      <c r="G9">
        <v>7</v>
      </c>
      <c r="H9">
        <v>3175</v>
      </c>
      <c r="I9">
        <v>2695</v>
      </c>
      <c r="J9">
        <v>92</v>
      </c>
      <c r="K9">
        <v>0</v>
      </c>
      <c r="L9">
        <v>0</v>
      </c>
      <c r="M9">
        <v>680</v>
      </c>
      <c r="N9">
        <v>635</v>
      </c>
      <c r="Z9">
        <v>45.5</v>
      </c>
      <c r="AA9">
        <v>1100</v>
      </c>
      <c r="AB9">
        <v>500</v>
      </c>
      <c r="AC9">
        <f t="shared" si="0"/>
        <v>24.175824175824175</v>
      </c>
      <c r="AD9" s="2">
        <f t="shared" si="1"/>
        <v>0.54545454545454541</v>
      </c>
      <c r="AE9">
        <v>72</v>
      </c>
      <c r="AF9">
        <v>1100</v>
      </c>
      <c r="AG9">
        <v>1040</v>
      </c>
      <c r="AH9">
        <f t="shared" si="2"/>
        <v>15.277777777777779</v>
      </c>
      <c r="AI9" s="2">
        <f t="shared" si="3"/>
        <v>5.4545454545454543E-2</v>
      </c>
      <c r="AJ9">
        <v>72</v>
      </c>
      <c r="AK9">
        <v>1050</v>
      </c>
      <c r="AL9">
        <v>1010</v>
      </c>
      <c r="AM9">
        <f t="shared" si="4"/>
        <v>14.583333333333334</v>
      </c>
      <c r="AN9" s="2">
        <f t="shared" si="5"/>
        <v>3.8095238095238099E-2</v>
      </c>
      <c r="AO9">
        <v>48.75</v>
      </c>
      <c r="AP9">
        <v>670</v>
      </c>
      <c r="AQ9">
        <v>630</v>
      </c>
      <c r="AR9">
        <f t="shared" si="6"/>
        <v>13.743589743589743</v>
      </c>
      <c r="AS9" s="2">
        <f t="shared" si="7"/>
        <v>5.9701492537313432E-2</v>
      </c>
      <c r="AT9">
        <v>0</v>
      </c>
      <c r="AU9" s="1">
        <v>45803.569977499363</v>
      </c>
    </row>
    <row r="10" spans="1:47" x14ac:dyDescent="0.25">
      <c r="A10" s="1">
        <v>45791</v>
      </c>
      <c r="B10" t="s">
        <v>61</v>
      </c>
      <c r="C10" t="s">
        <v>48</v>
      </c>
      <c r="D10" t="s">
        <v>52</v>
      </c>
      <c r="E10" t="s">
        <v>50</v>
      </c>
      <c r="F10" t="s">
        <v>47</v>
      </c>
      <c r="G10">
        <v>6</v>
      </c>
      <c r="H10">
        <v>5019</v>
      </c>
      <c r="I10">
        <v>2528</v>
      </c>
      <c r="J10">
        <v>37</v>
      </c>
      <c r="K10">
        <v>1620</v>
      </c>
      <c r="L10">
        <v>741</v>
      </c>
      <c r="M10">
        <v>70</v>
      </c>
      <c r="N10">
        <v>60</v>
      </c>
      <c r="Z10">
        <v>45.5</v>
      </c>
      <c r="AA10">
        <v>750</v>
      </c>
      <c r="AB10">
        <v>730</v>
      </c>
      <c r="AC10">
        <f t="shared" si="0"/>
        <v>16.483516483516482</v>
      </c>
      <c r="AD10" s="2">
        <f t="shared" si="1"/>
        <v>2.6666666666666668E-2</v>
      </c>
      <c r="AE10">
        <v>58.5</v>
      </c>
      <c r="AF10">
        <v>750</v>
      </c>
      <c r="AG10">
        <v>672</v>
      </c>
      <c r="AH10">
        <f t="shared" si="2"/>
        <v>12.820512820512821</v>
      </c>
      <c r="AI10" s="2">
        <f t="shared" si="3"/>
        <v>0.104</v>
      </c>
      <c r="AJ10">
        <v>48</v>
      </c>
      <c r="AK10">
        <v>850</v>
      </c>
      <c r="AL10">
        <v>804</v>
      </c>
      <c r="AM10">
        <f t="shared" si="4"/>
        <v>17.708333333333332</v>
      </c>
      <c r="AN10" s="2">
        <f t="shared" si="5"/>
        <v>5.4117647058823527E-2</v>
      </c>
      <c r="AO10">
        <v>41.25</v>
      </c>
      <c r="AP10">
        <v>550</v>
      </c>
      <c r="AQ10">
        <v>453</v>
      </c>
      <c r="AR10">
        <f t="shared" si="6"/>
        <v>13.333333333333334</v>
      </c>
      <c r="AS10" s="2">
        <f t="shared" si="7"/>
        <v>0.17636363636363636</v>
      </c>
      <c r="AT10">
        <v>0</v>
      </c>
      <c r="AU10" s="1">
        <v>45803.562406386132</v>
      </c>
    </row>
    <row r="11" spans="1:47" x14ac:dyDescent="0.25">
      <c r="A11" s="1">
        <v>45790</v>
      </c>
      <c r="B11" t="s">
        <v>62</v>
      </c>
      <c r="C11" t="s">
        <v>48</v>
      </c>
      <c r="D11" t="s">
        <v>49</v>
      </c>
      <c r="E11" t="s">
        <v>50</v>
      </c>
      <c r="F11" t="s">
        <v>51</v>
      </c>
      <c r="G11">
        <v>8</v>
      </c>
      <c r="H11">
        <v>6054</v>
      </c>
      <c r="I11">
        <v>3050</v>
      </c>
      <c r="J11">
        <v>97</v>
      </c>
      <c r="K11">
        <v>1489</v>
      </c>
      <c r="L11">
        <v>1495</v>
      </c>
      <c r="M11">
        <v>0</v>
      </c>
      <c r="N11">
        <v>0</v>
      </c>
      <c r="Z11">
        <v>45.5</v>
      </c>
      <c r="AA11">
        <v>1130</v>
      </c>
      <c r="AB11">
        <v>455</v>
      </c>
      <c r="AC11">
        <f t="shared" si="0"/>
        <v>24.835164835164836</v>
      </c>
      <c r="AD11" s="2">
        <f t="shared" si="1"/>
        <v>0.59734513274336287</v>
      </c>
      <c r="AE11">
        <v>64</v>
      </c>
      <c r="AF11">
        <v>1130</v>
      </c>
      <c r="AG11">
        <v>1020</v>
      </c>
      <c r="AH11">
        <f t="shared" si="2"/>
        <v>17.65625</v>
      </c>
      <c r="AI11" s="2">
        <f t="shared" si="3"/>
        <v>9.7345132743362831E-2</v>
      </c>
      <c r="AJ11">
        <v>68</v>
      </c>
      <c r="AK11">
        <v>1100</v>
      </c>
      <c r="AL11">
        <v>1017</v>
      </c>
      <c r="AM11">
        <f t="shared" si="4"/>
        <v>16.176470588235293</v>
      </c>
      <c r="AN11" s="2">
        <f t="shared" si="5"/>
        <v>7.5454545454545455E-2</v>
      </c>
      <c r="AO11">
        <v>49</v>
      </c>
      <c r="AP11">
        <v>700</v>
      </c>
      <c r="AQ11">
        <v>558</v>
      </c>
      <c r="AR11">
        <f t="shared" si="6"/>
        <v>14.285714285714286</v>
      </c>
      <c r="AS11" s="2">
        <f t="shared" si="7"/>
        <v>0.20285714285714285</v>
      </c>
      <c r="AT11">
        <v>0</v>
      </c>
      <c r="AU11" s="1">
        <v>45803.557252329942</v>
      </c>
    </row>
    <row r="12" spans="1:47" x14ac:dyDescent="0.25">
      <c r="A12" s="1">
        <v>45789</v>
      </c>
      <c r="B12" t="s">
        <v>63</v>
      </c>
      <c r="C12" t="s">
        <v>48</v>
      </c>
      <c r="D12" t="s">
        <v>52</v>
      </c>
      <c r="E12" t="s">
        <v>50</v>
      </c>
      <c r="F12" t="s">
        <v>47</v>
      </c>
      <c r="G12">
        <v>5</v>
      </c>
      <c r="H12">
        <v>4029</v>
      </c>
      <c r="I12">
        <v>2974</v>
      </c>
      <c r="J12">
        <v>101</v>
      </c>
      <c r="K12">
        <v>655</v>
      </c>
      <c r="L12">
        <v>400</v>
      </c>
      <c r="M12">
        <v>0</v>
      </c>
      <c r="N12">
        <v>0</v>
      </c>
      <c r="Z12">
        <v>58.5</v>
      </c>
      <c r="AA12">
        <v>1300</v>
      </c>
      <c r="AB12">
        <v>740</v>
      </c>
      <c r="AC12">
        <f t="shared" si="0"/>
        <v>22.222222222222221</v>
      </c>
      <c r="AD12" s="2">
        <f t="shared" si="1"/>
        <v>0.43076923076923079</v>
      </c>
      <c r="AE12">
        <v>76.5</v>
      </c>
      <c r="AF12">
        <v>1300</v>
      </c>
      <c r="AG12">
        <v>1215</v>
      </c>
      <c r="AH12">
        <f t="shared" si="2"/>
        <v>16.993464052287582</v>
      </c>
      <c r="AI12" s="2">
        <f t="shared" si="3"/>
        <v>6.5384615384615388E-2</v>
      </c>
      <c r="AJ12">
        <v>76.5</v>
      </c>
      <c r="AK12">
        <v>1300</v>
      </c>
      <c r="AL12">
        <v>1211</v>
      </c>
      <c r="AM12">
        <f t="shared" si="4"/>
        <v>16.993464052287582</v>
      </c>
      <c r="AN12" s="2">
        <f t="shared" si="5"/>
        <v>6.8461538461538463E-2</v>
      </c>
      <c r="AO12">
        <v>59.5</v>
      </c>
      <c r="AP12">
        <v>900</v>
      </c>
      <c r="AQ12">
        <v>863</v>
      </c>
      <c r="AR12">
        <f t="shared" si="6"/>
        <v>15.126050420168067</v>
      </c>
      <c r="AS12" s="2">
        <f t="shared" si="7"/>
        <v>4.1111111111111112E-2</v>
      </c>
      <c r="AT12">
        <v>0</v>
      </c>
      <c r="AU12" s="1">
        <v>45803.554831904483</v>
      </c>
    </row>
    <row r="13" spans="1:47" x14ac:dyDescent="0.25">
      <c r="A13" s="1">
        <v>45786</v>
      </c>
      <c r="B13" t="s">
        <v>64</v>
      </c>
      <c r="C13" t="s">
        <v>48</v>
      </c>
      <c r="D13" t="s">
        <v>52</v>
      </c>
      <c r="E13" t="s">
        <v>50</v>
      </c>
      <c r="F13" t="s">
        <v>51</v>
      </c>
      <c r="G13">
        <v>6</v>
      </c>
      <c r="H13">
        <v>4001</v>
      </c>
      <c r="I13">
        <v>3260</v>
      </c>
      <c r="J13">
        <v>124</v>
      </c>
      <c r="K13">
        <v>741</v>
      </c>
      <c r="L13">
        <v>0</v>
      </c>
      <c r="M13">
        <v>0</v>
      </c>
      <c r="N13">
        <v>0</v>
      </c>
      <c r="Z13">
        <v>52</v>
      </c>
      <c r="AA13">
        <v>1500</v>
      </c>
      <c r="AB13">
        <v>582</v>
      </c>
      <c r="AC13">
        <f t="shared" si="0"/>
        <v>28.846153846153847</v>
      </c>
      <c r="AD13" s="2">
        <f t="shared" si="1"/>
        <v>0.61199999999999999</v>
      </c>
      <c r="AE13">
        <v>76.5</v>
      </c>
      <c r="AF13">
        <v>1500</v>
      </c>
      <c r="AG13">
        <v>1400</v>
      </c>
      <c r="AH13">
        <f t="shared" si="2"/>
        <v>19.607843137254903</v>
      </c>
      <c r="AI13" s="2">
        <f t="shared" si="3"/>
        <v>6.6666666666666666E-2</v>
      </c>
      <c r="AJ13">
        <v>81</v>
      </c>
      <c r="AK13">
        <v>1300</v>
      </c>
      <c r="AL13">
        <v>1216</v>
      </c>
      <c r="AM13">
        <f t="shared" si="4"/>
        <v>16.049382716049383</v>
      </c>
      <c r="AN13" s="2">
        <f t="shared" si="5"/>
        <v>6.4615384615384616E-2</v>
      </c>
      <c r="AO13">
        <v>55.25</v>
      </c>
      <c r="AP13">
        <v>850</v>
      </c>
      <c r="AQ13">
        <v>802</v>
      </c>
      <c r="AR13">
        <f t="shared" si="6"/>
        <v>15.384615384615385</v>
      </c>
      <c r="AS13" s="2">
        <f t="shared" si="7"/>
        <v>5.647058823529412E-2</v>
      </c>
      <c r="AT13">
        <v>0</v>
      </c>
      <c r="AU13" s="1">
        <v>45803.544169087763</v>
      </c>
    </row>
    <row r="14" spans="1:47" x14ac:dyDescent="0.25">
      <c r="A14" s="1">
        <v>45786</v>
      </c>
      <c r="B14" t="s">
        <v>65</v>
      </c>
      <c r="C14" t="s">
        <v>48</v>
      </c>
      <c r="D14" t="s">
        <v>52</v>
      </c>
      <c r="E14" t="s">
        <v>50</v>
      </c>
      <c r="F14" t="s">
        <v>47</v>
      </c>
      <c r="G14">
        <v>8</v>
      </c>
      <c r="H14">
        <v>4027</v>
      </c>
      <c r="I14">
        <v>2640</v>
      </c>
      <c r="J14">
        <v>106</v>
      </c>
      <c r="K14">
        <v>864</v>
      </c>
      <c r="L14">
        <v>0</v>
      </c>
      <c r="M14">
        <v>250</v>
      </c>
      <c r="N14">
        <v>290</v>
      </c>
      <c r="Z14">
        <v>48.75</v>
      </c>
      <c r="AA14">
        <v>1530</v>
      </c>
      <c r="AB14">
        <v>566</v>
      </c>
      <c r="AC14">
        <f t="shared" si="0"/>
        <v>31.384615384615383</v>
      </c>
      <c r="AD14" s="2">
        <f t="shared" si="1"/>
        <v>0.63006535947712417</v>
      </c>
      <c r="AE14">
        <v>80.75</v>
      </c>
      <c r="AF14">
        <v>1530</v>
      </c>
      <c r="AG14">
        <v>1455</v>
      </c>
      <c r="AH14">
        <f t="shared" si="2"/>
        <v>18.94736842105263</v>
      </c>
      <c r="AI14" s="2">
        <f t="shared" si="3"/>
        <v>4.9019607843137254E-2</v>
      </c>
      <c r="AJ14">
        <v>80.75</v>
      </c>
      <c r="AK14">
        <v>1400</v>
      </c>
      <c r="AL14">
        <v>1304</v>
      </c>
      <c r="AM14">
        <f t="shared" si="4"/>
        <v>17.337461300309599</v>
      </c>
      <c r="AN14" s="2">
        <f t="shared" si="5"/>
        <v>6.8571428571428575E-2</v>
      </c>
      <c r="AO14">
        <v>48.75</v>
      </c>
      <c r="AP14">
        <v>750</v>
      </c>
      <c r="AQ14">
        <v>702</v>
      </c>
      <c r="AR14">
        <f t="shared" si="6"/>
        <v>15.384615384615385</v>
      </c>
      <c r="AS14" s="2">
        <f t="shared" si="7"/>
        <v>6.4000000000000001E-2</v>
      </c>
      <c r="AT14">
        <v>0</v>
      </c>
      <c r="AU14" s="1">
        <v>45803.546243082827</v>
      </c>
    </row>
    <row r="15" spans="1:47" x14ac:dyDescent="0.25">
      <c r="A15" s="1">
        <v>45785</v>
      </c>
      <c r="B15" t="s">
        <v>66</v>
      </c>
      <c r="C15" t="s">
        <v>48</v>
      </c>
      <c r="D15" t="s">
        <v>49</v>
      </c>
      <c r="E15" t="s">
        <v>50</v>
      </c>
      <c r="F15" t="s">
        <v>51</v>
      </c>
      <c r="G15">
        <v>6</v>
      </c>
      <c r="H15">
        <v>2431</v>
      </c>
      <c r="I15">
        <v>2431</v>
      </c>
      <c r="J15">
        <v>59</v>
      </c>
      <c r="K15">
        <v>0</v>
      </c>
      <c r="L15">
        <v>0</v>
      </c>
      <c r="M15">
        <v>0</v>
      </c>
      <c r="N15">
        <v>0</v>
      </c>
      <c r="Z15">
        <v>58.5</v>
      </c>
      <c r="AA15">
        <v>1100</v>
      </c>
      <c r="AB15">
        <v>384</v>
      </c>
      <c r="AC15">
        <f t="shared" si="0"/>
        <v>18.803418803418804</v>
      </c>
      <c r="AD15" s="2">
        <f t="shared" si="1"/>
        <v>0.65090909090909088</v>
      </c>
      <c r="AE15">
        <v>85</v>
      </c>
      <c r="AF15">
        <v>1100</v>
      </c>
      <c r="AG15">
        <v>917</v>
      </c>
      <c r="AH15">
        <f t="shared" si="2"/>
        <v>12.941176470588236</v>
      </c>
      <c r="AI15" s="2">
        <f t="shared" si="3"/>
        <v>0.16636363636363635</v>
      </c>
      <c r="AJ15">
        <v>85</v>
      </c>
      <c r="AK15">
        <v>950</v>
      </c>
      <c r="AL15">
        <v>850</v>
      </c>
      <c r="AM15">
        <f t="shared" si="4"/>
        <v>11.176470588235293</v>
      </c>
      <c r="AN15" s="2">
        <f t="shared" si="5"/>
        <v>0.10526315789473684</v>
      </c>
      <c r="AO15">
        <v>63</v>
      </c>
      <c r="AP15">
        <v>320</v>
      </c>
      <c r="AQ15">
        <v>280</v>
      </c>
      <c r="AR15">
        <f t="shared" si="6"/>
        <v>5.0793650793650791</v>
      </c>
      <c r="AS15" s="2">
        <f t="shared" si="7"/>
        <v>0.125</v>
      </c>
      <c r="AT15">
        <v>0</v>
      </c>
      <c r="AU15" s="1">
        <v>45803.551212229198</v>
      </c>
    </row>
    <row r="16" spans="1:47" x14ac:dyDescent="0.25">
      <c r="A16" s="1">
        <v>45785</v>
      </c>
      <c r="B16" t="s">
        <v>67</v>
      </c>
      <c r="C16" t="s">
        <v>48</v>
      </c>
      <c r="D16" t="s">
        <v>52</v>
      </c>
      <c r="E16" t="s">
        <v>50</v>
      </c>
      <c r="F16" t="s">
        <v>68</v>
      </c>
      <c r="G16">
        <v>7</v>
      </c>
      <c r="H16">
        <v>4045</v>
      </c>
      <c r="I16">
        <v>2865</v>
      </c>
      <c r="J16">
        <v>101</v>
      </c>
      <c r="K16">
        <v>290</v>
      </c>
      <c r="L16">
        <v>890</v>
      </c>
      <c r="M16">
        <v>0</v>
      </c>
      <c r="N16">
        <v>0</v>
      </c>
      <c r="Z16">
        <v>52.5</v>
      </c>
      <c r="AA16">
        <v>1600</v>
      </c>
      <c r="AB16">
        <v>515</v>
      </c>
      <c r="AC16">
        <f t="shared" si="0"/>
        <v>30.476190476190474</v>
      </c>
      <c r="AD16" s="2">
        <f t="shared" si="1"/>
        <v>0.67812499999999998</v>
      </c>
      <c r="AE16">
        <v>85</v>
      </c>
      <c r="AF16">
        <v>1600</v>
      </c>
      <c r="AG16">
        <v>1525</v>
      </c>
      <c r="AH16">
        <f t="shared" si="2"/>
        <v>18.823529411764707</v>
      </c>
      <c r="AI16" s="2">
        <f t="shared" si="3"/>
        <v>4.6875E-2</v>
      </c>
      <c r="AJ16">
        <v>72</v>
      </c>
      <c r="AK16">
        <v>1450</v>
      </c>
      <c r="AL16">
        <v>1362</v>
      </c>
      <c r="AM16">
        <f t="shared" si="4"/>
        <v>20.138888888888889</v>
      </c>
      <c r="AN16" s="2">
        <f t="shared" si="5"/>
        <v>6.0689655172413794E-2</v>
      </c>
      <c r="AO16">
        <v>52.5</v>
      </c>
      <c r="AP16">
        <v>808</v>
      </c>
      <c r="AQ16">
        <v>649</v>
      </c>
      <c r="AR16">
        <f t="shared" si="6"/>
        <v>15.390476190476191</v>
      </c>
      <c r="AS16" s="2">
        <f t="shared" si="7"/>
        <v>0.19678217821782179</v>
      </c>
      <c r="AT16">
        <v>0</v>
      </c>
      <c r="AU16" s="1">
        <v>45803.542552567793</v>
      </c>
    </row>
    <row r="17" spans="1:47" x14ac:dyDescent="0.25">
      <c r="A17" s="1">
        <v>45784</v>
      </c>
      <c r="B17" t="s">
        <v>69</v>
      </c>
      <c r="C17" t="s">
        <v>48</v>
      </c>
      <c r="D17" t="s">
        <v>49</v>
      </c>
      <c r="E17" t="s">
        <v>50</v>
      </c>
      <c r="F17" t="s">
        <v>51</v>
      </c>
      <c r="G17">
        <v>7</v>
      </c>
      <c r="H17">
        <v>4100</v>
      </c>
      <c r="I17">
        <v>2480</v>
      </c>
      <c r="J17">
        <v>70</v>
      </c>
      <c r="K17">
        <v>820</v>
      </c>
      <c r="L17">
        <v>0</v>
      </c>
      <c r="M17">
        <v>165</v>
      </c>
      <c r="N17">
        <v>135</v>
      </c>
      <c r="Z17">
        <v>68</v>
      </c>
      <c r="AA17">
        <v>1450</v>
      </c>
      <c r="AB17">
        <v>623</v>
      </c>
      <c r="AC17">
        <f t="shared" si="0"/>
        <v>21.323529411764707</v>
      </c>
      <c r="AD17" s="2">
        <f t="shared" si="1"/>
        <v>0.57034482758620686</v>
      </c>
      <c r="AE17">
        <v>76</v>
      </c>
      <c r="AF17">
        <v>1450</v>
      </c>
      <c r="AG17">
        <v>1360</v>
      </c>
      <c r="AH17">
        <f t="shared" si="2"/>
        <v>19.078947368421051</v>
      </c>
      <c r="AI17" s="2">
        <f t="shared" si="3"/>
        <v>6.2068965517241378E-2</v>
      </c>
      <c r="AJ17">
        <v>80</v>
      </c>
      <c r="AK17">
        <v>1300</v>
      </c>
      <c r="AL17">
        <v>1244</v>
      </c>
      <c r="AM17">
        <f t="shared" si="4"/>
        <v>16.25</v>
      </c>
      <c r="AN17" s="2">
        <f t="shared" si="5"/>
        <v>4.3076923076923075E-2</v>
      </c>
      <c r="AO17">
        <v>72</v>
      </c>
      <c r="AP17">
        <v>900</v>
      </c>
      <c r="AQ17">
        <v>873</v>
      </c>
      <c r="AR17">
        <f t="shared" si="6"/>
        <v>12.5</v>
      </c>
      <c r="AS17" s="2">
        <f t="shared" si="7"/>
        <v>0.03</v>
      </c>
      <c r="AT17">
        <v>0</v>
      </c>
      <c r="AU17" s="1">
        <v>45803.540748664833</v>
      </c>
    </row>
    <row r="18" spans="1:47" x14ac:dyDescent="0.25">
      <c r="A18" s="1">
        <v>45783</v>
      </c>
      <c r="B18" t="s">
        <v>70</v>
      </c>
      <c r="C18" t="s">
        <v>48</v>
      </c>
      <c r="D18" t="s">
        <v>49</v>
      </c>
      <c r="E18" t="s">
        <v>50</v>
      </c>
      <c r="F18" t="s">
        <v>51</v>
      </c>
      <c r="G18">
        <v>7</v>
      </c>
      <c r="H18">
        <v>4339</v>
      </c>
      <c r="I18">
        <v>1737</v>
      </c>
      <c r="J18">
        <v>70</v>
      </c>
      <c r="K18">
        <v>1502</v>
      </c>
      <c r="L18">
        <v>1100</v>
      </c>
      <c r="M18">
        <v>50</v>
      </c>
      <c r="N18">
        <v>70</v>
      </c>
      <c r="Z18">
        <v>68</v>
      </c>
      <c r="AA18">
        <v>1600</v>
      </c>
      <c r="AB18">
        <v>685</v>
      </c>
      <c r="AC18">
        <f t="shared" si="0"/>
        <v>23.529411764705884</v>
      </c>
      <c r="AD18" s="2">
        <f t="shared" si="1"/>
        <v>0.57187500000000002</v>
      </c>
      <c r="AE18">
        <v>90</v>
      </c>
      <c r="AF18">
        <v>1600</v>
      </c>
      <c r="AG18">
        <v>1324</v>
      </c>
      <c r="AH18">
        <f t="shared" si="2"/>
        <v>17.777777777777779</v>
      </c>
      <c r="AI18" s="2">
        <f t="shared" si="3"/>
        <v>0.17249999999999999</v>
      </c>
      <c r="AJ18">
        <v>89.25</v>
      </c>
      <c r="AK18">
        <v>1400</v>
      </c>
      <c r="AL18">
        <v>1316</v>
      </c>
      <c r="AM18">
        <f t="shared" si="4"/>
        <v>15.686274509803921</v>
      </c>
      <c r="AN18" s="2">
        <f t="shared" si="5"/>
        <v>0.06</v>
      </c>
      <c r="AO18">
        <v>67.5</v>
      </c>
      <c r="AP18">
        <v>900</v>
      </c>
      <c r="AQ18">
        <v>683</v>
      </c>
      <c r="AR18">
        <f t="shared" si="6"/>
        <v>13.333333333333334</v>
      </c>
      <c r="AS18" s="2">
        <f t="shared" si="7"/>
        <v>0.24111111111111111</v>
      </c>
      <c r="AT18">
        <v>0</v>
      </c>
      <c r="AU18" s="1">
        <v>45803.536425901897</v>
      </c>
    </row>
    <row r="19" spans="1:47" x14ac:dyDescent="0.25">
      <c r="A19" s="1">
        <v>45782</v>
      </c>
      <c r="B19" t="s">
        <v>71</v>
      </c>
      <c r="C19" t="s">
        <v>48</v>
      </c>
      <c r="D19" t="s">
        <v>49</v>
      </c>
      <c r="E19" t="s">
        <v>50</v>
      </c>
      <c r="F19" t="s">
        <v>51</v>
      </c>
      <c r="G19">
        <v>4.5</v>
      </c>
      <c r="H19">
        <v>4030</v>
      </c>
      <c r="I19">
        <v>2845</v>
      </c>
      <c r="J19">
        <v>108</v>
      </c>
      <c r="K19">
        <v>720</v>
      </c>
      <c r="L19">
        <v>345</v>
      </c>
      <c r="M19">
        <v>80</v>
      </c>
      <c r="N19">
        <v>40</v>
      </c>
      <c r="Z19">
        <v>49</v>
      </c>
      <c r="AA19">
        <v>1400</v>
      </c>
      <c r="AB19">
        <v>720</v>
      </c>
      <c r="AC19">
        <f t="shared" si="0"/>
        <v>28.571428571428573</v>
      </c>
      <c r="AD19" s="2">
        <f t="shared" si="1"/>
        <v>0.48571428571428571</v>
      </c>
      <c r="AE19">
        <v>72</v>
      </c>
      <c r="AF19">
        <v>1400</v>
      </c>
      <c r="AG19">
        <v>1275</v>
      </c>
      <c r="AH19">
        <f t="shared" si="2"/>
        <v>19.444444444444443</v>
      </c>
      <c r="AI19" s="2">
        <f t="shared" si="3"/>
        <v>8.9285714285714288E-2</v>
      </c>
      <c r="AJ19">
        <v>72</v>
      </c>
      <c r="AK19">
        <v>1380</v>
      </c>
      <c r="AL19">
        <v>1320</v>
      </c>
      <c r="AM19">
        <f t="shared" si="4"/>
        <v>19.166666666666668</v>
      </c>
      <c r="AN19" s="2">
        <f t="shared" si="5"/>
        <v>4.3478260869565216E-2</v>
      </c>
      <c r="AO19">
        <v>52.5</v>
      </c>
      <c r="AP19">
        <v>750</v>
      </c>
      <c r="AQ19">
        <v>715</v>
      </c>
      <c r="AR19">
        <f t="shared" si="6"/>
        <v>14.285714285714286</v>
      </c>
      <c r="AS19" s="2">
        <f t="shared" si="7"/>
        <v>4.6666666666666669E-2</v>
      </c>
      <c r="AT19">
        <v>0</v>
      </c>
      <c r="AU19" s="1">
        <v>45793.435385491262</v>
      </c>
    </row>
    <row r="20" spans="1:47" x14ac:dyDescent="0.25">
      <c r="A20" s="1">
        <v>45779</v>
      </c>
      <c r="B20" t="s">
        <v>72</v>
      </c>
      <c r="C20" t="s">
        <v>48</v>
      </c>
      <c r="D20" t="s">
        <v>49</v>
      </c>
      <c r="E20" t="s">
        <v>50</v>
      </c>
      <c r="F20" t="s">
        <v>68</v>
      </c>
      <c r="G20">
        <v>7</v>
      </c>
      <c r="H20">
        <v>5121</v>
      </c>
      <c r="I20">
        <v>3321</v>
      </c>
      <c r="J20">
        <v>108</v>
      </c>
      <c r="K20">
        <v>1200</v>
      </c>
      <c r="L20">
        <v>600</v>
      </c>
      <c r="M20">
        <v>0</v>
      </c>
      <c r="N20">
        <v>0</v>
      </c>
      <c r="Z20">
        <v>45.5</v>
      </c>
      <c r="AA20">
        <v>1150</v>
      </c>
      <c r="AB20">
        <v>682</v>
      </c>
      <c r="AC20">
        <f t="shared" si="0"/>
        <v>25.274725274725274</v>
      </c>
      <c r="AD20" s="2">
        <f t="shared" si="1"/>
        <v>0.40695652173913044</v>
      </c>
      <c r="AE20">
        <v>60</v>
      </c>
      <c r="AF20">
        <v>1150</v>
      </c>
      <c r="AG20">
        <v>922</v>
      </c>
      <c r="AH20">
        <f t="shared" si="2"/>
        <v>19.166666666666668</v>
      </c>
      <c r="AI20" s="2">
        <f t="shared" si="3"/>
        <v>0.19826086956521738</v>
      </c>
      <c r="AJ20">
        <v>60</v>
      </c>
      <c r="AK20">
        <v>1200</v>
      </c>
      <c r="AL20">
        <v>1110</v>
      </c>
      <c r="AM20">
        <f t="shared" si="4"/>
        <v>20</v>
      </c>
      <c r="AN20" s="2">
        <f t="shared" si="5"/>
        <v>7.4999999999999997E-2</v>
      </c>
      <c r="AO20">
        <v>45.5</v>
      </c>
      <c r="AP20">
        <v>650</v>
      </c>
      <c r="AQ20">
        <v>607</v>
      </c>
      <c r="AR20">
        <f t="shared" si="6"/>
        <v>14.285714285714286</v>
      </c>
      <c r="AS20" s="2">
        <f t="shared" si="7"/>
        <v>6.615384615384616E-2</v>
      </c>
      <c r="AT20">
        <v>0</v>
      </c>
      <c r="AU20" s="1">
        <v>45782.660604833392</v>
      </c>
    </row>
    <row r="21" spans="1:47" x14ac:dyDescent="0.25">
      <c r="A21" s="1">
        <v>45777</v>
      </c>
      <c r="B21" t="s">
        <v>73</v>
      </c>
      <c r="C21" t="s">
        <v>48</v>
      </c>
      <c r="D21" t="s">
        <v>49</v>
      </c>
      <c r="E21" t="s">
        <v>74</v>
      </c>
      <c r="F21" t="s">
        <v>68</v>
      </c>
      <c r="G21">
        <v>5</v>
      </c>
      <c r="H21">
        <v>4300</v>
      </c>
      <c r="I21">
        <v>3015</v>
      </c>
      <c r="J21">
        <v>100</v>
      </c>
      <c r="K21">
        <v>910</v>
      </c>
      <c r="L21">
        <v>375</v>
      </c>
      <c r="M21">
        <v>170</v>
      </c>
      <c r="N21">
        <v>125</v>
      </c>
      <c r="Z21">
        <v>56</v>
      </c>
      <c r="AA21">
        <v>1300</v>
      </c>
      <c r="AB21">
        <v>800</v>
      </c>
      <c r="AC21">
        <f t="shared" si="0"/>
        <v>23.214285714285715</v>
      </c>
      <c r="AD21" s="2">
        <f t="shared" si="1"/>
        <v>0.38461538461538464</v>
      </c>
      <c r="AE21">
        <v>72</v>
      </c>
      <c r="AF21">
        <v>1300</v>
      </c>
      <c r="AG21">
        <v>1200</v>
      </c>
      <c r="AH21">
        <f t="shared" si="2"/>
        <v>18.055555555555557</v>
      </c>
      <c r="AI21" s="2">
        <f t="shared" si="3"/>
        <v>7.6923076923076927E-2</v>
      </c>
      <c r="AJ21">
        <v>76</v>
      </c>
      <c r="AK21">
        <v>1650</v>
      </c>
      <c r="AL21">
        <v>1550</v>
      </c>
      <c r="AM21">
        <f t="shared" si="4"/>
        <v>21.710526315789473</v>
      </c>
      <c r="AN21" s="2">
        <f t="shared" si="5"/>
        <v>6.0606060606060608E-2</v>
      </c>
      <c r="AO21">
        <v>56</v>
      </c>
      <c r="AP21">
        <v>750</v>
      </c>
      <c r="AQ21">
        <v>750</v>
      </c>
      <c r="AR21">
        <f t="shared" si="6"/>
        <v>13.392857142857142</v>
      </c>
      <c r="AS21" s="2">
        <f t="shared" si="7"/>
        <v>0</v>
      </c>
      <c r="AT21">
        <v>0</v>
      </c>
      <c r="AU21" s="1">
        <v>45782.653394225199</v>
      </c>
    </row>
    <row r="22" spans="1:47" x14ac:dyDescent="0.25">
      <c r="A22" s="1">
        <v>45776</v>
      </c>
      <c r="B22" t="s">
        <v>75</v>
      </c>
      <c r="C22" t="s">
        <v>48</v>
      </c>
      <c r="D22" t="s">
        <v>49</v>
      </c>
      <c r="E22" t="s">
        <v>74</v>
      </c>
      <c r="F22" t="s">
        <v>51</v>
      </c>
      <c r="G22">
        <v>5</v>
      </c>
      <c r="H22">
        <v>4252</v>
      </c>
      <c r="I22">
        <v>2685</v>
      </c>
      <c r="J22">
        <v>116</v>
      </c>
      <c r="K22">
        <v>1147</v>
      </c>
      <c r="L22">
        <v>420</v>
      </c>
      <c r="M22">
        <v>0</v>
      </c>
      <c r="N22">
        <v>0</v>
      </c>
      <c r="Z22">
        <v>56</v>
      </c>
      <c r="AA22">
        <v>1300</v>
      </c>
      <c r="AB22">
        <v>870</v>
      </c>
      <c r="AC22">
        <f t="shared" si="0"/>
        <v>23.214285714285715</v>
      </c>
      <c r="AD22" s="2">
        <f t="shared" si="1"/>
        <v>0.33076923076923076</v>
      </c>
      <c r="AE22">
        <v>76.5</v>
      </c>
      <c r="AF22">
        <v>1300</v>
      </c>
      <c r="AG22">
        <v>1230</v>
      </c>
      <c r="AH22">
        <f t="shared" si="2"/>
        <v>16.993464052287582</v>
      </c>
      <c r="AI22" s="2">
        <f t="shared" si="3"/>
        <v>5.3846153846153849E-2</v>
      </c>
      <c r="AJ22">
        <v>76</v>
      </c>
      <c r="AK22">
        <v>1600</v>
      </c>
      <c r="AL22">
        <v>1510</v>
      </c>
      <c r="AM22">
        <f t="shared" si="4"/>
        <v>21.05263157894737</v>
      </c>
      <c r="AN22" s="2">
        <f t="shared" si="5"/>
        <v>5.6250000000000001E-2</v>
      </c>
      <c r="AO22">
        <v>56</v>
      </c>
      <c r="AP22">
        <v>700</v>
      </c>
      <c r="AQ22">
        <v>642</v>
      </c>
      <c r="AR22">
        <f t="shared" si="6"/>
        <v>12.5</v>
      </c>
      <c r="AS22" s="2">
        <f t="shared" si="7"/>
        <v>8.2857142857142851E-2</v>
      </c>
      <c r="AT22">
        <v>0</v>
      </c>
      <c r="AU22" s="1">
        <v>45803.552890193321</v>
      </c>
    </row>
    <row r="23" spans="1:47" x14ac:dyDescent="0.25">
      <c r="A23" s="1">
        <v>45775</v>
      </c>
      <c r="B23" t="s">
        <v>76</v>
      </c>
      <c r="C23" t="s">
        <v>48</v>
      </c>
      <c r="D23" t="s">
        <v>49</v>
      </c>
      <c r="E23" t="s">
        <v>74</v>
      </c>
      <c r="F23" t="s">
        <v>68</v>
      </c>
      <c r="G23">
        <v>10</v>
      </c>
      <c r="H23">
        <v>4951</v>
      </c>
      <c r="I23">
        <v>4501</v>
      </c>
      <c r="J23">
        <v>64</v>
      </c>
      <c r="K23">
        <v>0</v>
      </c>
      <c r="L23">
        <v>0</v>
      </c>
      <c r="M23">
        <v>200</v>
      </c>
      <c r="N23">
        <v>250</v>
      </c>
      <c r="Z23">
        <v>63</v>
      </c>
      <c r="AA23">
        <v>1800</v>
      </c>
      <c r="AB23">
        <v>918</v>
      </c>
      <c r="AC23">
        <f t="shared" si="0"/>
        <v>28.571428571428573</v>
      </c>
      <c r="AD23" s="2">
        <f t="shared" si="1"/>
        <v>0.49</v>
      </c>
      <c r="AE23">
        <v>80.75</v>
      </c>
      <c r="AF23">
        <v>1800</v>
      </c>
      <c r="AG23">
        <v>1663</v>
      </c>
      <c r="AH23">
        <f t="shared" si="2"/>
        <v>22.291021671826627</v>
      </c>
      <c r="AI23" s="2">
        <f t="shared" si="3"/>
        <v>7.6111111111111115E-2</v>
      </c>
      <c r="AJ23">
        <v>80.75</v>
      </c>
      <c r="AK23">
        <v>1700</v>
      </c>
      <c r="AL23">
        <v>1570</v>
      </c>
      <c r="AM23">
        <f t="shared" si="4"/>
        <v>21.05263157894737</v>
      </c>
      <c r="AN23" s="2">
        <f t="shared" si="5"/>
        <v>7.6470588235294124E-2</v>
      </c>
      <c r="AO23">
        <v>63</v>
      </c>
      <c r="AP23">
        <v>850</v>
      </c>
      <c r="AQ23">
        <v>800</v>
      </c>
      <c r="AR23">
        <f t="shared" si="6"/>
        <v>13.492063492063492</v>
      </c>
      <c r="AS23" s="2">
        <f t="shared" si="7"/>
        <v>5.8823529411764705E-2</v>
      </c>
      <c r="AT23">
        <v>0</v>
      </c>
      <c r="AU23" s="1">
        <v>45782.646255235719</v>
      </c>
    </row>
    <row r="24" spans="1:47" x14ac:dyDescent="0.25">
      <c r="A24" s="1">
        <v>45770</v>
      </c>
      <c r="B24" t="s">
        <v>77</v>
      </c>
      <c r="C24" t="s">
        <v>48</v>
      </c>
      <c r="D24" t="s">
        <v>49</v>
      </c>
      <c r="E24" t="s">
        <v>74</v>
      </c>
      <c r="F24" t="s">
        <v>51</v>
      </c>
      <c r="G24">
        <v>7</v>
      </c>
      <c r="H24">
        <v>4232</v>
      </c>
      <c r="I24">
        <v>0</v>
      </c>
      <c r="J24">
        <v>65</v>
      </c>
      <c r="K24">
        <v>4232</v>
      </c>
      <c r="L24">
        <v>0</v>
      </c>
      <c r="M24">
        <v>0</v>
      </c>
      <c r="N24">
        <v>0</v>
      </c>
      <c r="Z24">
        <v>56</v>
      </c>
      <c r="AA24">
        <v>1450</v>
      </c>
      <c r="AB24">
        <v>764</v>
      </c>
      <c r="AC24">
        <f t="shared" si="0"/>
        <v>25.892857142857142</v>
      </c>
      <c r="AD24" s="2">
        <f t="shared" si="1"/>
        <v>0.47310344827586209</v>
      </c>
      <c r="AE24">
        <v>85.5</v>
      </c>
      <c r="AF24">
        <v>1450</v>
      </c>
      <c r="AG24">
        <v>1400</v>
      </c>
      <c r="AH24">
        <f t="shared" si="2"/>
        <v>16.959064327485379</v>
      </c>
      <c r="AI24" s="2">
        <f t="shared" si="3"/>
        <v>3.4482758620689655E-2</v>
      </c>
      <c r="AJ24">
        <v>85.5</v>
      </c>
      <c r="AK24">
        <v>1550</v>
      </c>
      <c r="AL24">
        <v>1526</v>
      </c>
      <c r="AM24">
        <f t="shared" si="4"/>
        <v>18.128654970760234</v>
      </c>
      <c r="AN24" s="2">
        <f t="shared" si="5"/>
        <v>1.5483870967741935E-2</v>
      </c>
      <c r="AO24">
        <v>56</v>
      </c>
      <c r="AP24">
        <v>560</v>
      </c>
      <c r="AQ24">
        <v>542</v>
      </c>
      <c r="AR24">
        <f t="shared" si="6"/>
        <v>10</v>
      </c>
      <c r="AS24" s="2">
        <f t="shared" si="7"/>
        <v>3.214285714285714E-2</v>
      </c>
      <c r="AT24">
        <v>0</v>
      </c>
      <c r="AU24" s="1">
        <v>45782.567843973833</v>
      </c>
    </row>
    <row r="25" spans="1:47" x14ac:dyDescent="0.25">
      <c r="A25" s="1">
        <v>45769</v>
      </c>
      <c r="B25" t="s">
        <v>78</v>
      </c>
      <c r="C25" t="s">
        <v>48</v>
      </c>
      <c r="D25" t="s">
        <v>52</v>
      </c>
      <c r="E25" t="s">
        <v>74</v>
      </c>
      <c r="F25" t="s">
        <v>47</v>
      </c>
      <c r="G25">
        <v>7</v>
      </c>
      <c r="H25">
        <v>4032</v>
      </c>
      <c r="I25">
        <v>1852</v>
      </c>
      <c r="J25">
        <v>56</v>
      </c>
      <c r="K25">
        <v>1510</v>
      </c>
      <c r="L25">
        <v>670</v>
      </c>
      <c r="M25">
        <v>0</v>
      </c>
      <c r="N25">
        <v>0</v>
      </c>
      <c r="Z25">
        <v>42</v>
      </c>
      <c r="AA25">
        <v>1150</v>
      </c>
      <c r="AB25">
        <v>530</v>
      </c>
      <c r="AC25">
        <f t="shared" si="0"/>
        <v>27.38095238095238</v>
      </c>
      <c r="AD25" s="2">
        <f t="shared" si="1"/>
        <v>0.53913043478260869</v>
      </c>
      <c r="AE25">
        <v>63</v>
      </c>
      <c r="AF25">
        <v>1150</v>
      </c>
      <c r="AG25">
        <v>930</v>
      </c>
      <c r="AH25">
        <f t="shared" si="2"/>
        <v>18.253968253968253</v>
      </c>
      <c r="AI25" s="2">
        <f t="shared" si="3"/>
        <v>0.19130434782608696</v>
      </c>
      <c r="AJ25">
        <v>56</v>
      </c>
      <c r="AK25">
        <v>1050</v>
      </c>
      <c r="AL25">
        <v>912</v>
      </c>
      <c r="AM25">
        <f t="shared" si="4"/>
        <v>18.75</v>
      </c>
      <c r="AN25" s="2">
        <f t="shared" si="5"/>
        <v>0.13142857142857142</v>
      </c>
      <c r="AO25">
        <v>42</v>
      </c>
      <c r="AP25">
        <v>650</v>
      </c>
      <c r="AQ25">
        <v>514</v>
      </c>
      <c r="AR25">
        <f t="shared" si="6"/>
        <v>15.476190476190476</v>
      </c>
      <c r="AS25" s="2">
        <f t="shared" si="7"/>
        <v>0.20923076923076922</v>
      </c>
      <c r="AT25">
        <v>0</v>
      </c>
      <c r="AU25" s="1">
        <v>45779.498788453959</v>
      </c>
    </row>
    <row r="26" spans="1:47" x14ac:dyDescent="0.25">
      <c r="A26" s="1">
        <v>45764</v>
      </c>
      <c r="B26" t="s">
        <v>79</v>
      </c>
      <c r="C26" t="s">
        <v>48</v>
      </c>
      <c r="D26" t="s">
        <v>52</v>
      </c>
      <c r="E26" t="s">
        <v>50</v>
      </c>
      <c r="F26" t="s">
        <v>47</v>
      </c>
      <c r="G26">
        <v>6</v>
      </c>
      <c r="H26">
        <v>4008</v>
      </c>
      <c r="I26">
        <v>2490</v>
      </c>
      <c r="J26">
        <v>68</v>
      </c>
      <c r="K26">
        <v>828</v>
      </c>
      <c r="L26">
        <v>550</v>
      </c>
      <c r="M26">
        <v>150</v>
      </c>
      <c r="N26">
        <v>160</v>
      </c>
      <c r="Z26">
        <v>58.5</v>
      </c>
      <c r="AA26">
        <v>1630</v>
      </c>
      <c r="AB26">
        <v>703</v>
      </c>
      <c r="AC26">
        <f t="shared" si="0"/>
        <v>27.863247863247864</v>
      </c>
      <c r="AD26" s="2">
        <f t="shared" si="1"/>
        <v>0.56871165644171784</v>
      </c>
      <c r="AE26">
        <v>99</v>
      </c>
      <c r="AF26">
        <v>1630</v>
      </c>
      <c r="AG26">
        <v>1500</v>
      </c>
      <c r="AH26">
        <f t="shared" si="2"/>
        <v>16.464646464646464</v>
      </c>
      <c r="AI26" s="2">
        <f t="shared" si="3"/>
        <v>7.9754601226993863E-2</v>
      </c>
      <c r="AJ26">
        <v>99</v>
      </c>
      <c r="AK26">
        <v>1575</v>
      </c>
      <c r="AL26">
        <v>1460</v>
      </c>
      <c r="AM26">
        <f t="shared" si="4"/>
        <v>15.909090909090908</v>
      </c>
      <c r="AN26" s="2">
        <f t="shared" si="5"/>
        <v>7.301587301587302E-2</v>
      </c>
      <c r="AO26">
        <v>58.5</v>
      </c>
      <c r="AP26">
        <v>370</v>
      </c>
      <c r="AQ26">
        <v>345</v>
      </c>
      <c r="AR26">
        <f t="shared" si="6"/>
        <v>6.3247863247863245</v>
      </c>
      <c r="AS26" s="2">
        <f t="shared" si="7"/>
        <v>6.7567567567567571E-2</v>
      </c>
      <c r="AT26">
        <v>0</v>
      </c>
      <c r="AU26" s="1">
        <v>45782.564877220138</v>
      </c>
    </row>
    <row r="27" spans="1:47" x14ac:dyDescent="0.25">
      <c r="A27" s="1">
        <v>45763</v>
      </c>
      <c r="B27" t="s">
        <v>80</v>
      </c>
      <c r="C27" t="s">
        <v>48</v>
      </c>
      <c r="D27" t="s">
        <v>49</v>
      </c>
      <c r="E27" t="s">
        <v>50</v>
      </c>
      <c r="F27" t="s">
        <v>68</v>
      </c>
      <c r="G27">
        <v>6</v>
      </c>
      <c r="H27">
        <v>3671</v>
      </c>
      <c r="I27">
        <v>3341</v>
      </c>
      <c r="J27">
        <v>137</v>
      </c>
      <c r="K27">
        <v>0</v>
      </c>
      <c r="L27">
        <v>0</v>
      </c>
      <c r="M27">
        <v>160</v>
      </c>
      <c r="N27">
        <v>170</v>
      </c>
      <c r="Z27">
        <v>52</v>
      </c>
      <c r="AA27">
        <v>1350</v>
      </c>
      <c r="AB27">
        <v>506</v>
      </c>
      <c r="AC27">
        <f t="shared" si="0"/>
        <v>25.96153846153846</v>
      </c>
      <c r="AD27" s="2">
        <f t="shared" si="1"/>
        <v>0.62518518518518518</v>
      </c>
      <c r="AE27">
        <v>85.5</v>
      </c>
      <c r="AF27">
        <v>1350</v>
      </c>
      <c r="AG27">
        <v>1293</v>
      </c>
      <c r="AH27">
        <f t="shared" si="2"/>
        <v>15.789473684210526</v>
      </c>
      <c r="AI27" s="2">
        <f t="shared" si="3"/>
        <v>4.2222222222222223E-2</v>
      </c>
      <c r="AJ27">
        <v>95</v>
      </c>
      <c r="AK27">
        <v>1400</v>
      </c>
      <c r="AL27">
        <v>1322</v>
      </c>
      <c r="AM27">
        <f t="shared" si="4"/>
        <v>14.736842105263158</v>
      </c>
      <c r="AN27" s="2">
        <f t="shared" si="5"/>
        <v>5.5714285714285716E-2</v>
      </c>
      <c r="AO27">
        <v>44</v>
      </c>
      <c r="AP27">
        <v>600</v>
      </c>
      <c r="AQ27">
        <v>550</v>
      </c>
      <c r="AR27">
        <f t="shared" si="6"/>
        <v>13.636363636363637</v>
      </c>
      <c r="AS27" s="2">
        <f t="shared" si="7"/>
        <v>8.3333333333333329E-2</v>
      </c>
      <c r="AT27">
        <v>0</v>
      </c>
      <c r="AU27" s="1">
        <v>45782.641016041147</v>
      </c>
    </row>
    <row r="28" spans="1:47" x14ac:dyDescent="0.25">
      <c r="A28" s="1">
        <v>45762</v>
      </c>
      <c r="B28" t="s">
        <v>81</v>
      </c>
      <c r="C28" t="s">
        <v>48</v>
      </c>
      <c r="D28" t="s">
        <v>52</v>
      </c>
      <c r="E28" t="s">
        <v>50</v>
      </c>
      <c r="F28" t="s">
        <v>47</v>
      </c>
      <c r="G28">
        <v>5.5</v>
      </c>
      <c r="H28">
        <v>3975</v>
      </c>
      <c r="I28">
        <v>2900</v>
      </c>
      <c r="J28">
        <v>109</v>
      </c>
      <c r="K28">
        <v>615</v>
      </c>
      <c r="L28">
        <v>460</v>
      </c>
      <c r="M28">
        <v>0</v>
      </c>
      <c r="N28">
        <v>0</v>
      </c>
      <c r="Z28">
        <v>52</v>
      </c>
      <c r="AA28">
        <v>1400</v>
      </c>
      <c r="AB28">
        <v>704</v>
      </c>
      <c r="AC28">
        <f t="shared" si="0"/>
        <v>26.923076923076923</v>
      </c>
      <c r="AD28" s="2">
        <f t="shared" si="1"/>
        <v>0.49714285714285716</v>
      </c>
      <c r="AE28">
        <v>90</v>
      </c>
      <c r="AF28">
        <v>1400</v>
      </c>
      <c r="AG28">
        <v>1306</v>
      </c>
      <c r="AH28">
        <f t="shared" si="2"/>
        <v>15.555555555555555</v>
      </c>
      <c r="AI28" s="2">
        <f t="shared" si="3"/>
        <v>6.7142857142857143E-2</v>
      </c>
      <c r="AJ28">
        <v>85.5</v>
      </c>
      <c r="AK28">
        <v>1415</v>
      </c>
      <c r="AL28">
        <v>1214</v>
      </c>
      <c r="AM28">
        <f t="shared" si="4"/>
        <v>16.549707602339183</v>
      </c>
      <c r="AN28" s="2">
        <f t="shared" si="5"/>
        <v>0.1420494699646643</v>
      </c>
      <c r="AO28">
        <v>56</v>
      </c>
      <c r="AP28">
        <v>830</v>
      </c>
      <c r="AQ28">
        <v>751</v>
      </c>
      <c r="AR28">
        <f t="shared" si="6"/>
        <v>14.821428571428571</v>
      </c>
      <c r="AS28" s="2">
        <f t="shared" si="7"/>
        <v>9.5180722891566261E-2</v>
      </c>
      <c r="AT28">
        <v>0</v>
      </c>
      <c r="AU28" s="1">
        <v>45779.756759738128</v>
      </c>
    </row>
    <row r="29" spans="1:47" x14ac:dyDescent="0.25">
      <c r="A29" s="1">
        <v>45761</v>
      </c>
      <c r="B29" t="s">
        <v>82</v>
      </c>
      <c r="C29" t="s">
        <v>48</v>
      </c>
      <c r="D29" t="s">
        <v>49</v>
      </c>
      <c r="E29" t="s">
        <v>50</v>
      </c>
      <c r="F29" t="s">
        <v>51</v>
      </c>
      <c r="G29">
        <v>5</v>
      </c>
      <c r="H29">
        <v>3037</v>
      </c>
      <c r="I29">
        <v>822</v>
      </c>
      <c r="J29">
        <v>102</v>
      </c>
      <c r="K29">
        <v>2215</v>
      </c>
      <c r="L29">
        <v>0</v>
      </c>
      <c r="M29">
        <v>0</v>
      </c>
      <c r="N29">
        <v>0</v>
      </c>
      <c r="Z29">
        <v>64</v>
      </c>
      <c r="AA29">
        <v>1100</v>
      </c>
      <c r="AB29">
        <v>656</v>
      </c>
      <c r="AC29">
        <f t="shared" si="0"/>
        <v>17.1875</v>
      </c>
      <c r="AD29" s="2">
        <f t="shared" si="1"/>
        <v>0.40363636363636363</v>
      </c>
      <c r="AE29">
        <v>85.5</v>
      </c>
      <c r="AF29">
        <v>1100</v>
      </c>
      <c r="AG29">
        <v>1000</v>
      </c>
      <c r="AH29">
        <f t="shared" si="2"/>
        <v>12.865497076023392</v>
      </c>
      <c r="AI29" s="2">
        <f t="shared" si="3"/>
        <v>9.0909090909090912E-2</v>
      </c>
      <c r="AJ29">
        <v>85</v>
      </c>
      <c r="AK29">
        <v>1120</v>
      </c>
      <c r="AL29">
        <v>1003</v>
      </c>
      <c r="AM29">
        <f t="shared" si="4"/>
        <v>13.176470588235293</v>
      </c>
      <c r="AN29" s="2">
        <f t="shared" si="5"/>
        <v>0.10446428571428572</v>
      </c>
      <c r="AO29">
        <v>45</v>
      </c>
      <c r="AP29">
        <v>400</v>
      </c>
      <c r="AQ29">
        <v>378</v>
      </c>
      <c r="AR29">
        <f t="shared" si="6"/>
        <v>8.8888888888888893</v>
      </c>
      <c r="AS29" s="2">
        <f t="shared" si="7"/>
        <v>5.5E-2</v>
      </c>
      <c r="AT29">
        <v>0</v>
      </c>
      <c r="AU29" s="1">
        <v>45762.444240230398</v>
      </c>
    </row>
    <row r="30" spans="1:47" x14ac:dyDescent="0.25">
      <c r="A30" s="1">
        <v>45761</v>
      </c>
      <c r="B30" t="s">
        <v>83</v>
      </c>
      <c r="C30" t="s">
        <v>48</v>
      </c>
      <c r="D30" t="s">
        <v>52</v>
      </c>
      <c r="E30" t="s">
        <v>50</v>
      </c>
      <c r="F30" t="s">
        <v>47</v>
      </c>
      <c r="G30">
        <v>6.5</v>
      </c>
      <c r="H30">
        <v>4005</v>
      </c>
      <c r="I30">
        <v>3180</v>
      </c>
      <c r="J30">
        <v>95</v>
      </c>
      <c r="K30">
        <v>605</v>
      </c>
      <c r="L30">
        <v>220</v>
      </c>
      <c r="M30">
        <v>180</v>
      </c>
      <c r="N30">
        <v>180</v>
      </c>
      <c r="Z30">
        <v>58.5</v>
      </c>
      <c r="AA30">
        <v>1200</v>
      </c>
      <c r="AB30">
        <v>800</v>
      </c>
      <c r="AC30">
        <f t="shared" si="0"/>
        <v>20.512820512820515</v>
      </c>
      <c r="AD30" s="2">
        <f t="shared" si="1"/>
        <v>0.33333333333333331</v>
      </c>
      <c r="AE30">
        <v>88</v>
      </c>
      <c r="AF30">
        <v>1200</v>
      </c>
      <c r="AG30">
        <v>1130</v>
      </c>
      <c r="AH30">
        <f t="shared" si="2"/>
        <v>13.636363636363637</v>
      </c>
      <c r="AI30" s="2">
        <f t="shared" si="3"/>
        <v>5.8333333333333334E-2</v>
      </c>
      <c r="AJ30">
        <v>93.5</v>
      </c>
      <c r="AK30">
        <v>1430</v>
      </c>
      <c r="AL30">
        <v>1320</v>
      </c>
      <c r="AM30">
        <f t="shared" si="4"/>
        <v>15.294117647058824</v>
      </c>
      <c r="AN30" s="2">
        <f t="shared" si="5"/>
        <v>7.6923076923076927E-2</v>
      </c>
      <c r="AO30">
        <v>57</v>
      </c>
      <c r="AP30">
        <v>800</v>
      </c>
      <c r="AQ30">
        <v>755</v>
      </c>
      <c r="AR30">
        <f t="shared" si="6"/>
        <v>14.035087719298245</v>
      </c>
      <c r="AS30" s="2">
        <f t="shared" si="7"/>
        <v>5.6250000000000001E-2</v>
      </c>
      <c r="AT30">
        <v>0</v>
      </c>
      <c r="AU30" s="1">
        <v>45762.439723334886</v>
      </c>
    </row>
    <row r="31" spans="1:47" x14ac:dyDescent="0.25">
      <c r="A31" s="1">
        <v>45758</v>
      </c>
      <c r="B31" t="s">
        <v>84</v>
      </c>
      <c r="C31" t="s">
        <v>48</v>
      </c>
      <c r="D31" t="s">
        <v>49</v>
      </c>
      <c r="E31" t="s">
        <v>50</v>
      </c>
      <c r="F31" t="s">
        <v>51</v>
      </c>
      <c r="G31">
        <v>5</v>
      </c>
      <c r="H31">
        <v>4010</v>
      </c>
      <c r="I31">
        <v>2730</v>
      </c>
      <c r="J31">
        <v>98</v>
      </c>
      <c r="K31">
        <v>1130</v>
      </c>
      <c r="L31">
        <v>0</v>
      </c>
      <c r="M31">
        <v>90</v>
      </c>
      <c r="N31">
        <v>60</v>
      </c>
      <c r="Z31">
        <v>63</v>
      </c>
      <c r="AA31">
        <v>1400</v>
      </c>
      <c r="AB31">
        <v>744</v>
      </c>
      <c r="AC31">
        <f t="shared" si="0"/>
        <v>22.222222222222221</v>
      </c>
      <c r="AD31" s="2">
        <f t="shared" si="1"/>
        <v>0.46857142857142858</v>
      </c>
      <c r="AE31">
        <v>99.75</v>
      </c>
      <c r="AF31">
        <v>1400</v>
      </c>
      <c r="AG31">
        <v>1244</v>
      </c>
      <c r="AH31">
        <f t="shared" si="2"/>
        <v>14.035087719298245</v>
      </c>
      <c r="AI31" s="2">
        <f t="shared" si="3"/>
        <v>0.11142857142857143</v>
      </c>
      <c r="AJ31">
        <v>90</v>
      </c>
      <c r="AK31">
        <v>1400</v>
      </c>
      <c r="AL31">
        <v>1307</v>
      </c>
      <c r="AM31">
        <f t="shared" si="4"/>
        <v>15.555555555555555</v>
      </c>
      <c r="AN31" s="2">
        <f t="shared" si="5"/>
        <v>6.6428571428571434E-2</v>
      </c>
      <c r="AO31">
        <v>63</v>
      </c>
      <c r="AP31">
        <v>850</v>
      </c>
      <c r="AQ31">
        <v>715</v>
      </c>
      <c r="AR31">
        <f t="shared" si="6"/>
        <v>13.492063492063492</v>
      </c>
      <c r="AS31" s="2">
        <f t="shared" si="7"/>
        <v>0.1588235294117647</v>
      </c>
      <c r="AT31">
        <v>0</v>
      </c>
      <c r="AU31" s="1">
        <v>45758.587625135748</v>
      </c>
    </row>
    <row r="32" spans="1:47" x14ac:dyDescent="0.25">
      <c r="A32" s="1">
        <v>45757</v>
      </c>
      <c r="B32" t="s">
        <v>85</v>
      </c>
      <c r="C32" t="s">
        <v>48</v>
      </c>
      <c r="D32" t="s">
        <v>49</v>
      </c>
      <c r="E32" t="s">
        <v>50</v>
      </c>
      <c r="F32" t="s">
        <v>51</v>
      </c>
      <c r="G32">
        <v>7</v>
      </c>
      <c r="H32">
        <v>4245</v>
      </c>
      <c r="I32">
        <v>3730</v>
      </c>
      <c r="J32">
        <v>104</v>
      </c>
      <c r="K32">
        <v>0</v>
      </c>
      <c r="L32">
        <v>0</v>
      </c>
      <c r="M32">
        <v>240</v>
      </c>
      <c r="N32">
        <v>275</v>
      </c>
      <c r="Z32">
        <v>0</v>
      </c>
      <c r="AA32">
        <v>1500</v>
      </c>
      <c r="AB32">
        <v>630</v>
      </c>
      <c r="AC32" t="e">
        <f t="shared" si="0"/>
        <v>#DIV/0!</v>
      </c>
      <c r="AD32" s="2">
        <f t="shared" si="1"/>
        <v>0.57999999999999996</v>
      </c>
      <c r="AE32">
        <v>81</v>
      </c>
      <c r="AF32">
        <v>1500</v>
      </c>
      <c r="AG32">
        <v>1465</v>
      </c>
      <c r="AH32">
        <f t="shared" si="2"/>
        <v>18.518518518518519</v>
      </c>
      <c r="AI32" s="2">
        <f t="shared" si="3"/>
        <v>2.3333333333333334E-2</v>
      </c>
      <c r="AJ32">
        <v>76.5</v>
      </c>
      <c r="AK32">
        <v>1500</v>
      </c>
      <c r="AL32">
        <v>1400</v>
      </c>
      <c r="AM32">
        <f t="shared" si="4"/>
        <v>19.607843137254903</v>
      </c>
      <c r="AN32" s="2">
        <f t="shared" si="5"/>
        <v>6.6666666666666666E-2</v>
      </c>
      <c r="AO32">
        <v>56</v>
      </c>
      <c r="AP32">
        <v>850</v>
      </c>
      <c r="AQ32">
        <v>750</v>
      </c>
      <c r="AR32">
        <f t="shared" si="6"/>
        <v>15.178571428571429</v>
      </c>
      <c r="AS32" s="2">
        <f t="shared" si="7"/>
        <v>0.11764705882352941</v>
      </c>
      <c r="AT32">
        <v>0</v>
      </c>
      <c r="AU32" s="1">
        <v>45758.4281868486</v>
      </c>
    </row>
    <row r="33" spans="1:47" x14ac:dyDescent="0.25">
      <c r="A33" s="1">
        <v>45757</v>
      </c>
      <c r="B33" t="s">
        <v>86</v>
      </c>
      <c r="C33" t="s">
        <v>48</v>
      </c>
      <c r="D33" t="s">
        <v>52</v>
      </c>
      <c r="E33" t="s">
        <v>50</v>
      </c>
      <c r="F33" t="s">
        <v>47</v>
      </c>
      <c r="G33">
        <v>6</v>
      </c>
      <c r="H33">
        <v>3912</v>
      </c>
      <c r="I33">
        <v>2612</v>
      </c>
      <c r="J33">
        <v>103</v>
      </c>
      <c r="K33">
        <v>600</v>
      </c>
      <c r="L33">
        <v>345</v>
      </c>
      <c r="M33">
        <v>185</v>
      </c>
      <c r="N33">
        <v>170</v>
      </c>
      <c r="Z33">
        <v>0</v>
      </c>
      <c r="AA33">
        <v>1400</v>
      </c>
      <c r="AB33">
        <v>599</v>
      </c>
      <c r="AC33" t="e">
        <f t="shared" si="0"/>
        <v>#DIV/0!</v>
      </c>
      <c r="AD33" s="2">
        <f t="shared" si="1"/>
        <v>0.57214285714285718</v>
      </c>
      <c r="AE33">
        <v>84</v>
      </c>
      <c r="AF33">
        <v>1400</v>
      </c>
      <c r="AG33">
        <v>1170</v>
      </c>
      <c r="AH33">
        <f t="shared" si="2"/>
        <v>16.666666666666668</v>
      </c>
      <c r="AI33" s="2">
        <f t="shared" si="3"/>
        <v>0.16428571428571428</v>
      </c>
      <c r="AJ33">
        <v>84</v>
      </c>
      <c r="AK33">
        <v>1750</v>
      </c>
      <c r="AL33">
        <v>1506</v>
      </c>
      <c r="AM33">
        <f t="shared" si="4"/>
        <v>20.833333333333332</v>
      </c>
      <c r="AN33" s="2">
        <f t="shared" si="5"/>
        <v>0.13942857142857143</v>
      </c>
      <c r="AO33">
        <v>52</v>
      </c>
      <c r="AP33">
        <v>800</v>
      </c>
      <c r="AQ33">
        <v>637</v>
      </c>
      <c r="AR33">
        <f t="shared" si="6"/>
        <v>15.384615384615385</v>
      </c>
      <c r="AS33" s="2">
        <f t="shared" si="7"/>
        <v>0.20374999999999999</v>
      </c>
      <c r="AT33">
        <v>0</v>
      </c>
      <c r="AU33" s="1">
        <v>45758.425503323728</v>
      </c>
    </row>
    <row r="34" spans="1:47" x14ac:dyDescent="0.25">
      <c r="A34" s="1">
        <v>45756</v>
      </c>
      <c r="B34" t="s">
        <v>87</v>
      </c>
      <c r="C34" t="s">
        <v>48</v>
      </c>
      <c r="D34" t="s">
        <v>49</v>
      </c>
      <c r="E34" t="s">
        <v>50</v>
      </c>
      <c r="F34" t="s">
        <v>51</v>
      </c>
      <c r="G34">
        <v>5</v>
      </c>
      <c r="H34">
        <v>4087</v>
      </c>
      <c r="I34">
        <v>2430</v>
      </c>
      <c r="J34">
        <v>100</v>
      </c>
      <c r="K34">
        <v>1012</v>
      </c>
      <c r="L34">
        <v>645</v>
      </c>
      <c r="M34">
        <v>0</v>
      </c>
      <c r="N34">
        <v>0</v>
      </c>
      <c r="Z34">
        <v>56</v>
      </c>
      <c r="AA34">
        <v>1500</v>
      </c>
      <c r="AB34">
        <v>765</v>
      </c>
      <c r="AC34">
        <f t="shared" si="0"/>
        <v>26.785714285714285</v>
      </c>
      <c r="AD34" s="2">
        <f t="shared" si="1"/>
        <v>0.49</v>
      </c>
      <c r="AE34">
        <v>81</v>
      </c>
      <c r="AF34">
        <v>1500</v>
      </c>
      <c r="AG34">
        <v>1310</v>
      </c>
      <c r="AH34">
        <f t="shared" si="2"/>
        <v>18.518518518518519</v>
      </c>
      <c r="AI34" s="2">
        <f t="shared" si="3"/>
        <v>0.12666666666666668</v>
      </c>
      <c r="AJ34">
        <v>76.5</v>
      </c>
      <c r="AK34">
        <v>1470</v>
      </c>
      <c r="AL34">
        <v>1280</v>
      </c>
      <c r="AM34">
        <f t="shared" si="4"/>
        <v>19.215686274509803</v>
      </c>
      <c r="AN34" s="2">
        <f t="shared" si="5"/>
        <v>0.12925170068027211</v>
      </c>
      <c r="AO34">
        <v>56</v>
      </c>
      <c r="AP34">
        <v>840</v>
      </c>
      <c r="AQ34">
        <v>732</v>
      </c>
      <c r="AR34">
        <f t="shared" si="6"/>
        <v>15</v>
      </c>
      <c r="AS34" s="2">
        <f t="shared" si="7"/>
        <v>0.12857142857142856</v>
      </c>
      <c r="AT34">
        <v>0</v>
      </c>
      <c r="AU34" s="1">
        <v>45758.430868463438</v>
      </c>
    </row>
    <row r="35" spans="1:47" x14ac:dyDescent="0.25">
      <c r="A35" s="1">
        <v>45755</v>
      </c>
      <c r="B35" t="s">
        <v>88</v>
      </c>
      <c r="C35" t="s">
        <v>48</v>
      </c>
      <c r="D35" t="s">
        <v>52</v>
      </c>
      <c r="E35" t="s">
        <v>50</v>
      </c>
      <c r="F35" t="s">
        <v>47</v>
      </c>
      <c r="G35">
        <v>4</v>
      </c>
      <c r="H35">
        <v>4004</v>
      </c>
      <c r="I35">
        <v>2940</v>
      </c>
      <c r="J35">
        <v>117</v>
      </c>
      <c r="K35">
        <v>824</v>
      </c>
      <c r="L35">
        <v>240</v>
      </c>
      <c r="M35">
        <v>0</v>
      </c>
      <c r="N35">
        <v>0</v>
      </c>
      <c r="Z35">
        <v>56</v>
      </c>
      <c r="AA35">
        <v>1300</v>
      </c>
      <c r="AB35">
        <v>700</v>
      </c>
      <c r="AC35">
        <f t="shared" si="0"/>
        <v>23.214285714285715</v>
      </c>
      <c r="AD35" s="2">
        <f t="shared" si="1"/>
        <v>0.46153846153846156</v>
      </c>
      <c r="AE35">
        <v>76.5</v>
      </c>
      <c r="AF35">
        <v>1300</v>
      </c>
      <c r="AG35">
        <v>1254</v>
      </c>
      <c r="AH35">
        <f t="shared" si="2"/>
        <v>16.993464052287582</v>
      </c>
      <c r="AI35" s="2">
        <f t="shared" si="3"/>
        <v>3.5384615384615382E-2</v>
      </c>
      <c r="AJ35">
        <v>80.75</v>
      </c>
      <c r="AK35">
        <v>1350</v>
      </c>
      <c r="AL35">
        <v>1300</v>
      </c>
      <c r="AM35">
        <f t="shared" si="4"/>
        <v>16.71826625386997</v>
      </c>
      <c r="AN35" s="2">
        <f t="shared" si="5"/>
        <v>3.7037037037037035E-2</v>
      </c>
      <c r="AO35">
        <v>56</v>
      </c>
      <c r="AP35">
        <v>800</v>
      </c>
      <c r="AQ35">
        <v>750</v>
      </c>
      <c r="AR35">
        <f t="shared" si="6"/>
        <v>14.285714285714286</v>
      </c>
      <c r="AS35" s="2">
        <f t="shared" si="7"/>
        <v>6.25E-2</v>
      </c>
      <c r="AT35">
        <v>0</v>
      </c>
      <c r="AU35" s="1">
        <v>45756.435721036389</v>
      </c>
    </row>
    <row r="36" spans="1:47" x14ac:dyDescent="0.25">
      <c r="A36" s="1">
        <v>45754</v>
      </c>
      <c r="B36" t="s">
        <v>89</v>
      </c>
      <c r="C36" t="s">
        <v>48</v>
      </c>
      <c r="D36" t="s">
        <v>52</v>
      </c>
      <c r="E36" t="s">
        <v>50</v>
      </c>
      <c r="F36" t="s">
        <v>47</v>
      </c>
      <c r="G36">
        <v>5</v>
      </c>
      <c r="H36">
        <v>3951</v>
      </c>
      <c r="I36">
        <v>2780</v>
      </c>
      <c r="J36">
        <v>102</v>
      </c>
      <c r="K36">
        <v>760</v>
      </c>
      <c r="L36">
        <v>311</v>
      </c>
      <c r="M36">
        <v>0</v>
      </c>
      <c r="N36">
        <v>0</v>
      </c>
      <c r="Z36">
        <v>52</v>
      </c>
      <c r="AA36">
        <v>1500</v>
      </c>
      <c r="AB36">
        <v>640</v>
      </c>
      <c r="AC36">
        <f t="shared" si="0"/>
        <v>28.846153846153847</v>
      </c>
      <c r="AD36" s="2">
        <f t="shared" si="1"/>
        <v>0.57333333333333336</v>
      </c>
      <c r="AE36">
        <v>71.25</v>
      </c>
      <c r="AF36">
        <v>1500</v>
      </c>
      <c r="AG36">
        <v>1468</v>
      </c>
      <c r="AH36">
        <f t="shared" si="2"/>
        <v>21.05263157894737</v>
      </c>
      <c r="AI36" s="2">
        <f t="shared" si="3"/>
        <v>2.1333333333333333E-2</v>
      </c>
      <c r="AJ36">
        <v>75</v>
      </c>
      <c r="AK36">
        <v>1300</v>
      </c>
      <c r="AL36">
        <v>1193</v>
      </c>
      <c r="AM36">
        <f t="shared" si="4"/>
        <v>17.333333333333332</v>
      </c>
      <c r="AN36" s="2">
        <f t="shared" si="5"/>
        <v>8.2307692307692304E-2</v>
      </c>
      <c r="AO36">
        <v>55.25</v>
      </c>
      <c r="AP36">
        <v>750</v>
      </c>
      <c r="AQ36">
        <v>650</v>
      </c>
      <c r="AR36">
        <f t="shared" si="6"/>
        <v>13.574660633484163</v>
      </c>
      <c r="AS36" s="2">
        <f t="shared" si="7"/>
        <v>0.13333333333333333</v>
      </c>
      <c r="AT36">
        <v>0</v>
      </c>
      <c r="AU36" s="1">
        <v>45756.440419033614</v>
      </c>
    </row>
    <row r="37" spans="1:47" x14ac:dyDescent="0.25">
      <c r="A37" s="1">
        <v>45754</v>
      </c>
      <c r="B37" t="s">
        <v>90</v>
      </c>
      <c r="C37" t="s">
        <v>48</v>
      </c>
      <c r="D37" t="s">
        <v>49</v>
      </c>
      <c r="E37" t="s">
        <v>50</v>
      </c>
      <c r="F37" t="s">
        <v>51</v>
      </c>
      <c r="G37">
        <v>5</v>
      </c>
      <c r="H37">
        <v>3442</v>
      </c>
      <c r="I37">
        <v>2190</v>
      </c>
      <c r="J37">
        <v>83</v>
      </c>
      <c r="K37">
        <v>502</v>
      </c>
      <c r="L37">
        <v>750</v>
      </c>
      <c r="M37">
        <v>0</v>
      </c>
      <c r="N37">
        <v>0</v>
      </c>
      <c r="Z37">
        <v>49</v>
      </c>
      <c r="AA37">
        <v>1200</v>
      </c>
      <c r="AB37">
        <v>500</v>
      </c>
      <c r="AC37">
        <f t="shared" si="0"/>
        <v>24.489795918367346</v>
      </c>
      <c r="AD37" s="2">
        <f t="shared" si="1"/>
        <v>0.58333333333333337</v>
      </c>
      <c r="AE37">
        <v>60</v>
      </c>
      <c r="AF37">
        <v>1200</v>
      </c>
      <c r="AG37">
        <v>1134</v>
      </c>
      <c r="AH37">
        <f t="shared" si="2"/>
        <v>20</v>
      </c>
      <c r="AI37" s="2">
        <f t="shared" si="3"/>
        <v>5.5E-2</v>
      </c>
      <c r="AJ37">
        <v>60</v>
      </c>
      <c r="AK37">
        <v>1250</v>
      </c>
      <c r="AL37">
        <v>1200</v>
      </c>
      <c r="AM37">
        <f t="shared" si="4"/>
        <v>20.833333333333332</v>
      </c>
      <c r="AN37" s="2">
        <f t="shared" si="5"/>
        <v>0.04</v>
      </c>
      <c r="AO37">
        <v>45.5</v>
      </c>
      <c r="AP37">
        <v>650</v>
      </c>
      <c r="AQ37">
        <v>608</v>
      </c>
      <c r="AR37">
        <f t="shared" si="6"/>
        <v>14.285714285714286</v>
      </c>
      <c r="AS37" s="2">
        <f t="shared" si="7"/>
        <v>6.4615384615384616E-2</v>
      </c>
      <c r="AT37">
        <v>0</v>
      </c>
      <c r="AU37" s="1">
        <v>45756.440582643867</v>
      </c>
    </row>
    <row r="38" spans="1:47" x14ac:dyDescent="0.25">
      <c r="A38" s="1">
        <v>45751</v>
      </c>
      <c r="B38" t="s">
        <v>91</v>
      </c>
      <c r="C38" t="s">
        <v>48</v>
      </c>
      <c r="D38" t="s">
        <v>52</v>
      </c>
      <c r="E38" t="s">
        <v>50</v>
      </c>
      <c r="F38" t="s">
        <v>47</v>
      </c>
      <c r="G38">
        <v>4</v>
      </c>
      <c r="H38">
        <v>4064</v>
      </c>
      <c r="I38">
        <v>2764</v>
      </c>
      <c r="J38">
        <v>112</v>
      </c>
      <c r="K38">
        <v>950</v>
      </c>
      <c r="L38">
        <v>370</v>
      </c>
      <c r="M38">
        <v>0</v>
      </c>
      <c r="N38">
        <v>0</v>
      </c>
      <c r="Z38">
        <v>59.5</v>
      </c>
      <c r="AA38">
        <v>1300</v>
      </c>
      <c r="AB38">
        <v>764</v>
      </c>
      <c r="AC38">
        <f t="shared" si="0"/>
        <v>21.84873949579832</v>
      </c>
      <c r="AD38" s="2">
        <f t="shared" si="1"/>
        <v>0.41230769230769232</v>
      </c>
      <c r="AE38">
        <v>90</v>
      </c>
      <c r="AF38">
        <v>1300</v>
      </c>
      <c r="AG38">
        <v>1148</v>
      </c>
      <c r="AH38">
        <f t="shared" si="2"/>
        <v>14.444444444444445</v>
      </c>
      <c r="AI38" s="2">
        <f t="shared" si="3"/>
        <v>0.11692307692307692</v>
      </c>
      <c r="AJ38">
        <v>85.5</v>
      </c>
      <c r="AK38">
        <v>1700</v>
      </c>
      <c r="AL38">
        <v>1548</v>
      </c>
      <c r="AM38">
        <f t="shared" si="4"/>
        <v>19.883040935672515</v>
      </c>
      <c r="AN38" s="2">
        <f t="shared" si="5"/>
        <v>8.9411764705882357E-2</v>
      </c>
      <c r="AO38">
        <v>56</v>
      </c>
      <c r="AP38">
        <v>650</v>
      </c>
      <c r="AQ38">
        <v>604</v>
      </c>
      <c r="AR38">
        <f t="shared" si="6"/>
        <v>11.607142857142858</v>
      </c>
      <c r="AS38" s="2">
        <f t="shared" si="7"/>
        <v>7.0769230769230765E-2</v>
      </c>
      <c r="AT38">
        <v>0</v>
      </c>
      <c r="AU38" s="1">
        <v>45756.443697400209</v>
      </c>
    </row>
    <row r="39" spans="1:47" x14ac:dyDescent="0.25">
      <c r="A39" s="1">
        <v>45750</v>
      </c>
      <c r="B39" t="s">
        <v>92</v>
      </c>
      <c r="C39" t="s">
        <v>48</v>
      </c>
      <c r="D39" t="s">
        <v>49</v>
      </c>
      <c r="E39" t="s">
        <v>50</v>
      </c>
      <c r="F39" t="s">
        <v>51</v>
      </c>
      <c r="G39">
        <v>5</v>
      </c>
      <c r="H39">
        <v>3900</v>
      </c>
      <c r="I39">
        <v>2600</v>
      </c>
      <c r="J39">
        <v>107</v>
      </c>
      <c r="K39">
        <v>830</v>
      </c>
      <c r="L39">
        <v>470</v>
      </c>
      <c r="M39">
        <v>0</v>
      </c>
      <c r="N39">
        <v>0</v>
      </c>
      <c r="Z39">
        <v>56</v>
      </c>
      <c r="AA39">
        <v>1300</v>
      </c>
      <c r="AB39">
        <v>729</v>
      </c>
      <c r="AC39">
        <f t="shared" si="0"/>
        <v>23.214285714285715</v>
      </c>
      <c r="AD39" s="2">
        <f t="shared" si="1"/>
        <v>0.43923076923076926</v>
      </c>
      <c r="AE39">
        <v>63</v>
      </c>
      <c r="AF39">
        <v>1300</v>
      </c>
      <c r="AG39">
        <v>1254</v>
      </c>
      <c r="AH39">
        <f t="shared" si="2"/>
        <v>20.634920634920636</v>
      </c>
      <c r="AI39" s="2">
        <f t="shared" si="3"/>
        <v>3.5384615384615382E-2</v>
      </c>
      <c r="AJ39">
        <v>63</v>
      </c>
      <c r="AK39">
        <v>1450</v>
      </c>
      <c r="AL39">
        <v>1392</v>
      </c>
      <c r="AM39">
        <f t="shared" si="4"/>
        <v>23.015873015873016</v>
      </c>
      <c r="AN39" s="2">
        <f t="shared" si="5"/>
        <v>0.04</v>
      </c>
      <c r="AO39">
        <v>56</v>
      </c>
      <c r="AP39">
        <v>550</v>
      </c>
      <c r="AQ39">
        <v>525</v>
      </c>
      <c r="AR39">
        <f t="shared" si="6"/>
        <v>9.8214285714285712</v>
      </c>
      <c r="AS39" s="2">
        <f t="shared" si="7"/>
        <v>4.5454545454545456E-2</v>
      </c>
      <c r="AT39">
        <v>0</v>
      </c>
      <c r="AU39" s="1">
        <v>45756.446370209967</v>
      </c>
    </row>
    <row r="40" spans="1:47" x14ac:dyDescent="0.25">
      <c r="A40" s="1">
        <v>45750</v>
      </c>
      <c r="B40" t="s">
        <v>93</v>
      </c>
      <c r="C40" t="s">
        <v>48</v>
      </c>
      <c r="D40" t="s">
        <v>49</v>
      </c>
      <c r="E40" t="s">
        <v>50</v>
      </c>
      <c r="F40" t="s">
        <v>51</v>
      </c>
      <c r="G40">
        <v>5</v>
      </c>
      <c r="H40">
        <v>3930</v>
      </c>
      <c r="I40">
        <v>3930</v>
      </c>
      <c r="J40">
        <v>98</v>
      </c>
      <c r="K40">
        <v>0</v>
      </c>
      <c r="L40">
        <v>0</v>
      </c>
      <c r="M40">
        <v>0</v>
      </c>
      <c r="N40">
        <v>0</v>
      </c>
      <c r="Z40">
        <v>56</v>
      </c>
      <c r="AA40">
        <v>1500</v>
      </c>
      <c r="AB40">
        <v>674</v>
      </c>
      <c r="AC40">
        <f t="shared" si="0"/>
        <v>26.785714285714285</v>
      </c>
      <c r="AD40" s="2">
        <f t="shared" si="1"/>
        <v>0.55066666666666664</v>
      </c>
      <c r="AE40">
        <v>85.5</v>
      </c>
      <c r="AF40">
        <v>1500</v>
      </c>
      <c r="AG40">
        <v>1426</v>
      </c>
      <c r="AH40">
        <f t="shared" si="2"/>
        <v>17.543859649122808</v>
      </c>
      <c r="AI40" s="2">
        <f t="shared" si="3"/>
        <v>4.9333333333333333E-2</v>
      </c>
      <c r="AJ40">
        <v>85.5</v>
      </c>
      <c r="AK40">
        <v>1250</v>
      </c>
      <c r="AL40">
        <v>1166</v>
      </c>
      <c r="AM40">
        <f t="shared" si="4"/>
        <v>14.619883040935672</v>
      </c>
      <c r="AN40" s="2">
        <f t="shared" si="5"/>
        <v>6.7199999999999996E-2</v>
      </c>
      <c r="AO40">
        <v>56</v>
      </c>
      <c r="AP40">
        <v>700</v>
      </c>
      <c r="AQ40">
        <v>664</v>
      </c>
      <c r="AR40">
        <f t="shared" si="6"/>
        <v>12.5</v>
      </c>
      <c r="AS40" s="2">
        <f t="shared" si="7"/>
        <v>5.1428571428571428E-2</v>
      </c>
      <c r="AT40">
        <v>0</v>
      </c>
      <c r="AU40" s="1">
        <v>45756.449066313551</v>
      </c>
    </row>
    <row r="41" spans="1:47" x14ac:dyDescent="0.25">
      <c r="A41" s="1">
        <v>45749</v>
      </c>
      <c r="B41" t="s">
        <v>94</v>
      </c>
      <c r="C41" t="s">
        <v>48</v>
      </c>
      <c r="D41" t="s">
        <v>49</v>
      </c>
      <c r="E41" t="s">
        <v>50</v>
      </c>
      <c r="F41" t="s">
        <v>51</v>
      </c>
      <c r="G41">
        <v>5</v>
      </c>
      <c r="H41">
        <v>4205</v>
      </c>
      <c r="I41">
        <v>3805</v>
      </c>
      <c r="J41">
        <v>107</v>
      </c>
      <c r="K41">
        <v>0</v>
      </c>
      <c r="L41">
        <v>0</v>
      </c>
      <c r="M41">
        <v>200</v>
      </c>
      <c r="N41">
        <v>200</v>
      </c>
      <c r="Z41">
        <v>59.5</v>
      </c>
      <c r="AA41">
        <v>1460</v>
      </c>
      <c r="AB41">
        <v>780</v>
      </c>
      <c r="AC41">
        <f t="shared" si="0"/>
        <v>24.537815126050422</v>
      </c>
      <c r="AD41" s="2">
        <f t="shared" si="1"/>
        <v>0.46575342465753422</v>
      </c>
      <c r="AE41">
        <v>71.25</v>
      </c>
      <c r="AF41">
        <v>1460</v>
      </c>
      <c r="AG41">
        <v>1301</v>
      </c>
      <c r="AH41">
        <f t="shared" si="2"/>
        <v>20.491228070175438</v>
      </c>
      <c r="AI41" s="2">
        <f t="shared" si="3"/>
        <v>0.10890410958904109</v>
      </c>
      <c r="AJ41">
        <v>80</v>
      </c>
      <c r="AK41">
        <v>1700</v>
      </c>
      <c r="AL41">
        <v>1602</v>
      </c>
      <c r="AM41">
        <f t="shared" si="4"/>
        <v>21.25</v>
      </c>
      <c r="AN41" s="2">
        <f t="shared" si="5"/>
        <v>5.7647058823529412E-2</v>
      </c>
      <c r="AO41">
        <v>60</v>
      </c>
      <c r="AP41">
        <v>600</v>
      </c>
      <c r="AQ41">
        <v>522</v>
      </c>
      <c r="AR41">
        <f t="shared" si="6"/>
        <v>10</v>
      </c>
      <c r="AS41" s="2">
        <f t="shared" si="7"/>
        <v>0.13</v>
      </c>
      <c r="AT41">
        <v>0</v>
      </c>
      <c r="AU41" s="1">
        <v>45756.451670988114</v>
      </c>
    </row>
    <row r="42" spans="1:47" x14ac:dyDescent="0.25">
      <c r="A42" s="1">
        <v>45748</v>
      </c>
      <c r="B42" t="s">
        <v>95</v>
      </c>
      <c r="C42" t="s">
        <v>48</v>
      </c>
      <c r="D42" t="s">
        <v>49</v>
      </c>
      <c r="E42" t="s">
        <v>50</v>
      </c>
      <c r="F42" t="s">
        <v>51</v>
      </c>
      <c r="G42">
        <v>4</v>
      </c>
      <c r="H42">
        <v>3688</v>
      </c>
      <c r="I42">
        <v>1060</v>
      </c>
      <c r="J42">
        <v>56</v>
      </c>
      <c r="K42">
        <v>1265</v>
      </c>
      <c r="L42">
        <v>1350</v>
      </c>
      <c r="M42">
        <v>0</v>
      </c>
      <c r="N42">
        <v>0</v>
      </c>
      <c r="Z42">
        <v>72</v>
      </c>
      <c r="AA42">
        <v>1200</v>
      </c>
      <c r="AB42">
        <v>777</v>
      </c>
      <c r="AC42">
        <f t="shared" si="0"/>
        <v>16.666666666666668</v>
      </c>
      <c r="AD42" s="2">
        <f t="shared" si="1"/>
        <v>0.35249999999999998</v>
      </c>
      <c r="AE42">
        <v>89.25</v>
      </c>
      <c r="AF42">
        <v>1200</v>
      </c>
      <c r="AG42">
        <v>1115</v>
      </c>
      <c r="AH42">
        <f t="shared" si="2"/>
        <v>13.445378151260504</v>
      </c>
      <c r="AI42" s="2">
        <f t="shared" si="3"/>
        <v>7.0833333333333331E-2</v>
      </c>
      <c r="AJ42">
        <v>84</v>
      </c>
      <c r="AK42">
        <v>1250</v>
      </c>
      <c r="AL42">
        <v>1177</v>
      </c>
      <c r="AM42">
        <f t="shared" si="4"/>
        <v>14.880952380952381</v>
      </c>
      <c r="AN42" s="2">
        <f t="shared" si="5"/>
        <v>5.8400000000000001E-2</v>
      </c>
      <c r="AO42">
        <v>67.5</v>
      </c>
      <c r="AP42">
        <v>700</v>
      </c>
      <c r="AQ42">
        <v>619</v>
      </c>
      <c r="AR42">
        <f t="shared" si="6"/>
        <v>10.37037037037037</v>
      </c>
      <c r="AS42" s="2">
        <f t="shared" si="7"/>
        <v>0.11571428571428571</v>
      </c>
      <c r="AT42">
        <v>0</v>
      </c>
      <c r="AU42" s="1">
        <v>45756.472934597601</v>
      </c>
    </row>
    <row r="43" spans="1:47" x14ac:dyDescent="0.25">
      <c r="A43" s="1">
        <v>45747</v>
      </c>
      <c r="B43" t="s">
        <v>96</v>
      </c>
      <c r="C43" t="s">
        <v>48</v>
      </c>
      <c r="D43" t="s">
        <v>49</v>
      </c>
      <c r="E43" t="s">
        <v>50</v>
      </c>
      <c r="F43" t="s">
        <v>51</v>
      </c>
      <c r="G43">
        <v>6</v>
      </c>
      <c r="H43">
        <v>3722</v>
      </c>
      <c r="I43">
        <v>267</v>
      </c>
      <c r="J43">
        <v>59</v>
      </c>
      <c r="K43">
        <v>3455</v>
      </c>
      <c r="L43">
        <v>0</v>
      </c>
      <c r="M43">
        <v>0</v>
      </c>
      <c r="N43">
        <v>0</v>
      </c>
      <c r="Z43">
        <v>56</v>
      </c>
      <c r="AA43">
        <v>1250</v>
      </c>
      <c r="AB43">
        <v>700</v>
      </c>
      <c r="AC43">
        <f t="shared" si="0"/>
        <v>22.321428571428573</v>
      </c>
      <c r="AD43" s="2">
        <f t="shared" si="1"/>
        <v>0.44</v>
      </c>
      <c r="AE43">
        <v>64</v>
      </c>
      <c r="AF43">
        <v>1250</v>
      </c>
      <c r="AG43">
        <v>1154</v>
      </c>
      <c r="AH43">
        <f t="shared" si="2"/>
        <v>19.53125</v>
      </c>
      <c r="AI43" s="2">
        <f t="shared" si="3"/>
        <v>7.6799999999999993E-2</v>
      </c>
      <c r="AJ43">
        <v>68</v>
      </c>
      <c r="AK43">
        <v>1200</v>
      </c>
      <c r="AL43">
        <v>1106</v>
      </c>
      <c r="AM43">
        <f t="shared" si="4"/>
        <v>17.647058823529413</v>
      </c>
      <c r="AN43" s="2">
        <f t="shared" si="5"/>
        <v>7.8333333333333338E-2</v>
      </c>
      <c r="AO43">
        <v>56</v>
      </c>
      <c r="AP43">
        <v>800</v>
      </c>
      <c r="AQ43">
        <v>762</v>
      </c>
      <c r="AR43">
        <f t="shared" si="6"/>
        <v>14.285714285714286</v>
      </c>
      <c r="AS43" s="2">
        <f t="shared" si="7"/>
        <v>4.7500000000000001E-2</v>
      </c>
      <c r="AT43">
        <v>0</v>
      </c>
      <c r="AU43" s="1">
        <v>45756.456108909762</v>
      </c>
    </row>
    <row r="44" spans="1:47" x14ac:dyDescent="0.25">
      <c r="A44" s="1">
        <v>45747</v>
      </c>
      <c r="B44" t="s">
        <v>97</v>
      </c>
      <c r="C44" t="s">
        <v>48</v>
      </c>
      <c r="D44" t="s">
        <v>52</v>
      </c>
      <c r="E44" t="s">
        <v>50</v>
      </c>
      <c r="F44" t="s">
        <v>47</v>
      </c>
      <c r="G44">
        <v>5</v>
      </c>
      <c r="H44">
        <v>4069</v>
      </c>
      <c r="I44">
        <v>2900</v>
      </c>
      <c r="J44">
        <v>114</v>
      </c>
      <c r="K44">
        <v>834</v>
      </c>
      <c r="L44">
        <v>335</v>
      </c>
      <c r="M44">
        <v>0</v>
      </c>
      <c r="N44">
        <v>0</v>
      </c>
      <c r="Z44">
        <v>64</v>
      </c>
      <c r="AA44">
        <v>1400</v>
      </c>
      <c r="AB44">
        <v>715</v>
      </c>
      <c r="AC44">
        <f t="shared" si="0"/>
        <v>21.875</v>
      </c>
      <c r="AD44" s="2">
        <f t="shared" si="1"/>
        <v>0.48928571428571427</v>
      </c>
      <c r="AE44">
        <v>80</v>
      </c>
      <c r="AF44">
        <v>1400</v>
      </c>
      <c r="AG44">
        <v>1346</v>
      </c>
      <c r="AH44">
        <f t="shared" si="2"/>
        <v>17.5</v>
      </c>
      <c r="AI44" s="2">
        <f t="shared" si="3"/>
        <v>3.8571428571428569E-2</v>
      </c>
      <c r="AJ44">
        <v>76</v>
      </c>
      <c r="AK44">
        <v>1350</v>
      </c>
      <c r="AL44">
        <v>1334</v>
      </c>
      <c r="AM44">
        <f t="shared" si="4"/>
        <v>17.763157894736842</v>
      </c>
      <c r="AN44" s="2">
        <f t="shared" si="5"/>
        <v>1.1851851851851851E-2</v>
      </c>
      <c r="AO44">
        <v>60</v>
      </c>
      <c r="AP44">
        <v>750</v>
      </c>
      <c r="AQ44">
        <v>674</v>
      </c>
      <c r="AR44">
        <f t="shared" si="6"/>
        <v>12.5</v>
      </c>
      <c r="AS44" s="2">
        <f t="shared" si="7"/>
        <v>0.10133333333333333</v>
      </c>
      <c r="AT44">
        <v>0</v>
      </c>
      <c r="AU44" s="1">
        <v>45756.457990628907</v>
      </c>
    </row>
    <row r="45" spans="1:47" x14ac:dyDescent="0.25">
      <c r="A45" s="1">
        <v>45743</v>
      </c>
      <c r="B45" t="s">
        <v>98</v>
      </c>
      <c r="C45" t="s">
        <v>48</v>
      </c>
      <c r="D45" t="s">
        <v>49</v>
      </c>
      <c r="E45" t="s">
        <v>50</v>
      </c>
      <c r="F45" t="s">
        <v>51</v>
      </c>
      <c r="G45">
        <v>6</v>
      </c>
      <c r="H45">
        <v>3506</v>
      </c>
      <c r="I45">
        <v>0</v>
      </c>
      <c r="J45">
        <v>50</v>
      </c>
      <c r="K45">
        <v>3001</v>
      </c>
      <c r="L45">
        <v>0</v>
      </c>
      <c r="M45">
        <v>240</v>
      </c>
      <c r="N45">
        <v>265</v>
      </c>
      <c r="Z45">
        <v>48.75</v>
      </c>
      <c r="AA45">
        <v>1150</v>
      </c>
      <c r="AB45">
        <v>714</v>
      </c>
      <c r="AC45">
        <f t="shared" si="0"/>
        <v>23.589743589743591</v>
      </c>
      <c r="AD45" s="2">
        <f t="shared" si="1"/>
        <v>0.37913043478260872</v>
      </c>
      <c r="AE45">
        <v>64</v>
      </c>
      <c r="AF45">
        <v>1150</v>
      </c>
      <c r="AG45">
        <v>1030</v>
      </c>
      <c r="AH45">
        <f t="shared" si="2"/>
        <v>17.96875</v>
      </c>
      <c r="AI45" s="2">
        <f t="shared" si="3"/>
        <v>0.10434782608695652</v>
      </c>
      <c r="AJ45">
        <v>59.5</v>
      </c>
      <c r="AK45">
        <v>1300</v>
      </c>
      <c r="AL45">
        <v>1222</v>
      </c>
      <c r="AM45">
        <f t="shared" si="4"/>
        <v>21.84873949579832</v>
      </c>
      <c r="AN45" s="2">
        <f t="shared" si="5"/>
        <v>0.06</v>
      </c>
      <c r="AO45">
        <v>52</v>
      </c>
      <c r="AP45">
        <v>600</v>
      </c>
      <c r="AQ45">
        <v>540</v>
      </c>
      <c r="AR45">
        <f t="shared" si="6"/>
        <v>11.538461538461538</v>
      </c>
      <c r="AS45" s="2">
        <f t="shared" si="7"/>
        <v>0.1</v>
      </c>
      <c r="AT45">
        <v>0</v>
      </c>
      <c r="AU45" s="1">
        <v>45756.462345267908</v>
      </c>
    </row>
    <row r="46" spans="1:47" x14ac:dyDescent="0.25">
      <c r="A46" s="1">
        <v>45743</v>
      </c>
      <c r="B46" t="s">
        <v>99</v>
      </c>
      <c r="C46" t="s">
        <v>48</v>
      </c>
      <c r="D46" t="s">
        <v>52</v>
      </c>
      <c r="E46" t="s">
        <v>50</v>
      </c>
      <c r="F46" t="s">
        <v>47</v>
      </c>
      <c r="G46">
        <v>6</v>
      </c>
      <c r="H46">
        <v>3962</v>
      </c>
      <c r="I46">
        <v>2750</v>
      </c>
      <c r="J46">
        <v>75</v>
      </c>
      <c r="K46">
        <v>1050</v>
      </c>
      <c r="L46">
        <v>160</v>
      </c>
      <c r="M46">
        <v>215</v>
      </c>
      <c r="N46">
        <v>270</v>
      </c>
      <c r="Z46">
        <v>52.5</v>
      </c>
      <c r="AA46">
        <v>1380</v>
      </c>
      <c r="AB46">
        <v>580</v>
      </c>
      <c r="AC46">
        <f t="shared" si="0"/>
        <v>26.285714285714285</v>
      </c>
      <c r="AD46" s="2">
        <f t="shared" si="1"/>
        <v>0.57971014492753625</v>
      </c>
      <c r="AE46">
        <v>76.5</v>
      </c>
      <c r="AF46">
        <v>1380</v>
      </c>
      <c r="AG46">
        <v>1255</v>
      </c>
      <c r="AH46">
        <f t="shared" si="2"/>
        <v>18.03921568627451</v>
      </c>
      <c r="AI46" s="2">
        <f t="shared" si="3"/>
        <v>9.0579710144927536E-2</v>
      </c>
      <c r="AJ46">
        <v>80</v>
      </c>
      <c r="AK46">
        <v>1150</v>
      </c>
      <c r="AL46">
        <v>1494</v>
      </c>
      <c r="AM46">
        <f t="shared" si="4"/>
        <v>14.375</v>
      </c>
      <c r="AN46" s="2">
        <f t="shared" si="5"/>
        <v>-0.2991304347826087</v>
      </c>
      <c r="AO46">
        <v>56</v>
      </c>
      <c r="AP46">
        <v>700</v>
      </c>
      <c r="AQ46">
        <v>633</v>
      </c>
      <c r="AR46">
        <f t="shared" si="6"/>
        <v>12.5</v>
      </c>
      <c r="AS46" s="2">
        <f t="shared" si="7"/>
        <v>9.571428571428571E-2</v>
      </c>
      <c r="AT46">
        <v>0</v>
      </c>
      <c r="AU46" s="1">
        <v>45756.465397582127</v>
      </c>
    </row>
    <row r="47" spans="1:47" x14ac:dyDescent="0.25">
      <c r="A47" s="1">
        <v>45742</v>
      </c>
      <c r="B47" t="s">
        <v>100</v>
      </c>
      <c r="C47" t="s">
        <v>48</v>
      </c>
      <c r="D47" t="s">
        <v>49</v>
      </c>
      <c r="E47" t="s">
        <v>50</v>
      </c>
      <c r="F47" t="s">
        <v>51</v>
      </c>
      <c r="G47">
        <v>6</v>
      </c>
      <c r="H47">
        <v>4141</v>
      </c>
      <c r="I47">
        <v>3541</v>
      </c>
      <c r="J47">
        <v>81</v>
      </c>
      <c r="K47">
        <v>0</v>
      </c>
      <c r="L47">
        <v>0</v>
      </c>
      <c r="M47">
        <v>300</v>
      </c>
      <c r="N47">
        <v>300</v>
      </c>
      <c r="Z47">
        <v>70</v>
      </c>
      <c r="AA47">
        <v>1400</v>
      </c>
      <c r="AB47">
        <v>774</v>
      </c>
      <c r="AC47">
        <f t="shared" si="0"/>
        <v>20</v>
      </c>
      <c r="AD47" s="2">
        <f t="shared" si="1"/>
        <v>0.44714285714285712</v>
      </c>
      <c r="AE47">
        <v>93.5</v>
      </c>
      <c r="AF47">
        <v>1400</v>
      </c>
      <c r="AG47">
        <v>1335</v>
      </c>
      <c r="AH47">
        <f t="shared" si="2"/>
        <v>14.973262032085561</v>
      </c>
      <c r="AI47" s="2">
        <f t="shared" si="3"/>
        <v>4.642857142857143E-2</v>
      </c>
      <c r="AJ47">
        <v>88</v>
      </c>
      <c r="AK47">
        <v>1500</v>
      </c>
      <c r="AL47">
        <v>1450</v>
      </c>
      <c r="AM47">
        <f t="shared" si="4"/>
        <v>17.045454545454547</v>
      </c>
      <c r="AN47" s="2">
        <f t="shared" si="5"/>
        <v>3.3333333333333333E-2</v>
      </c>
      <c r="AO47">
        <v>63</v>
      </c>
      <c r="AP47">
        <v>650</v>
      </c>
      <c r="AQ47">
        <v>582</v>
      </c>
      <c r="AR47">
        <f t="shared" si="6"/>
        <v>10.317460317460318</v>
      </c>
      <c r="AS47" s="2">
        <f t="shared" si="7"/>
        <v>0.10461538461538461</v>
      </c>
      <c r="AT47">
        <v>0</v>
      </c>
      <c r="AU47" s="1">
        <v>45756.467574310511</v>
      </c>
    </row>
    <row r="48" spans="1:47" x14ac:dyDescent="0.25">
      <c r="A48" s="1">
        <v>45742</v>
      </c>
      <c r="B48" t="s">
        <v>101</v>
      </c>
      <c r="C48" t="s">
        <v>48</v>
      </c>
      <c r="D48" t="s">
        <v>52</v>
      </c>
      <c r="E48" t="s">
        <v>50</v>
      </c>
      <c r="F48" t="s">
        <v>47</v>
      </c>
      <c r="G48">
        <v>5</v>
      </c>
      <c r="H48">
        <v>3842</v>
      </c>
      <c r="I48">
        <v>2470</v>
      </c>
      <c r="J48">
        <v>104</v>
      </c>
      <c r="K48">
        <v>742</v>
      </c>
      <c r="L48">
        <v>630</v>
      </c>
      <c r="M48">
        <v>0</v>
      </c>
      <c r="N48">
        <v>0</v>
      </c>
      <c r="Z48">
        <v>53</v>
      </c>
      <c r="AA48">
        <v>1300</v>
      </c>
      <c r="AB48">
        <v>700</v>
      </c>
      <c r="AC48">
        <f t="shared" si="0"/>
        <v>24.528301886792452</v>
      </c>
      <c r="AD48" s="2">
        <f t="shared" si="1"/>
        <v>0.46153846153846156</v>
      </c>
      <c r="AE48">
        <v>72.25</v>
      </c>
      <c r="AF48">
        <v>1300</v>
      </c>
      <c r="AG48">
        <v>1224</v>
      </c>
      <c r="AH48">
        <f t="shared" si="2"/>
        <v>17.993079584775085</v>
      </c>
      <c r="AI48" s="2">
        <f t="shared" si="3"/>
        <v>5.8461538461538461E-2</v>
      </c>
      <c r="AJ48">
        <v>72.25</v>
      </c>
      <c r="AK48">
        <v>1300</v>
      </c>
      <c r="AL48">
        <v>1214</v>
      </c>
      <c r="AM48">
        <f t="shared" si="4"/>
        <v>17.993079584775085</v>
      </c>
      <c r="AN48" s="2">
        <f t="shared" si="5"/>
        <v>6.615384615384616E-2</v>
      </c>
      <c r="AO48">
        <v>52.5</v>
      </c>
      <c r="AP48">
        <v>750</v>
      </c>
      <c r="AQ48">
        <v>704</v>
      </c>
      <c r="AR48">
        <f t="shared" si="6"/>
        <v>14.285714285714286</v>
      </c>
      <c r="AS48" s="2">
        <f t="shared" si="7"/>
        <v>6.133333333333333E-2</v>
      </c>
      <c r="AT48">
        <v>0</v>
      </c>
      <c r="AU48" s="1">
        <v>45756.470812366693</v>
      </c>
    </row>
    <row r="49" spans="1:47" x14ac:dyDescent="0.25">
      <c r="A49" s="1">
        <v>45741</v>
      </c>
      <c r="B49" t="s">
        <v>102</v>
      </c>
      <c r="C49" t="s">
        <v>48</v>
      </c>
      <c r="D49" t="s">
        <v>49</v>
      </c>
      <c r="E49" t="s">
        <v>50</v>
      </c>
      <c r="F49" t="s">
        <v>51</v>
      </c>
      <c r="G49">
        <v>5</v>
      </c>
      <c r="H49">
        <v>3824</v>
      </c>
      <c r="I49">
        <v>2924</v>
      </c>
      <c r="J49">
        <v>112</v>
      </c>
      <c r="K49">
        <v>600</v>
      </c>
      <c r="L49">
        <v>300</v>
      </c>
      <c r="M49">
        <v>0</v>
      </c>
      <c r="N49">
        <v>0</v>
      </c>
      <c r="Z49">
        <v>55.25</v>
      </c>
      <c r="AA49">
        <v>1330</v>
      </c>
      <c r="AB49">
        <v>659</v>
      </c>
      <c r="AC49">
        <f t="shared" si="0"/>
        <v>24.072398190045249</v>
      </c>
      <c r="AD49" s="2">
        <f t="shared" si="1"/>
        <v>0.50451127819548869</v>
      </c>
      <c r="AE49">
        <v>80.75</v>
      </c>
      <c r="AF49">
        <v>1330</v>
      </c>
      <c r="AG49">
        <v>1210</v>
      </c>
      <c r="AH49">
        <f t="shared" si="2"/>
        <v>16.470588235294116</v>
      </c>
      <c r="AI49" s="2">
        <f t="shared" si="3"/>
        <v>9.0225563909774431E-2</v>
      </c>
      <c r="AJ49">
        <v>72</v>
      </c>
      <c r="AK49">
        <v>1250</v>
      </c>
      <c r="AL49">
        <v>1213</v>
      </c>
      <c r="AM49">
        <f t="shared" si="4"/>
        <v>17.361111111111111</v>
      </c>
      <c r="AN49" s="2">
        <f t="shared" si="5"/>
        <v>2.9600000000000001E-2</v>
      </c>
      <c r="AO49">
        <v>56</v>
      </c>
      <c r="AP49">
        <v>790</v>
      </c>
      <c r="AQ49">
        <v>742</v>
      </c>
      <c r="AR49">
        <f t="shared" si="6"/>
        <v>14.107142857142858</v>
      </c>
      <c r="AS49" s="2">
        <f t="shared" si="7"/>
        <v>6.0759493670886074E-2</v>
      </c>
      <c r="AT49">
        <v>0</v>
      </c>
      <c r="AU49" s="1">
        <v>45751.4354957381</v>
      </c>
    </row>
    <row r="50" spans="1:47" x14ac:dyDescent="0.25">
      <c r="A50" s="1">
        <v>45741</v>
      </c>
      <c r="B50" t="s">
        <v>103</v>
      </c>
      <c r="C50" t="s">
        <v>48</v>
      </c>
      <c r="D50" t="s">
        <v>52</v>
      </c>
      <c r="E50" t="s">
        <v>50</v>
      </c>
      <c r="F50" t="s">
        <v>47</v>
      </c>
      <c r="G50">
        <v>6</v>
      </c>
      <c r="H50">
        <v>3282</v>
      </c>
      <c r="I50">
        <v>2130</v>
      </c>
      <c r="J50">
        <v>65</v>
      </c>
      <c r="K50">
        <v>822</v>
      </c>
      <c r="L50">
        <v>320</v>
      </c>
      <c r="M50">
        <v>70</v>
      </c>
      <c r="N50">
        <v>55</v>
      </c>
      <c r="Z50">
        <v>53</v>
      </c>
      <c r="AA50">
        <v>1200</v>
      </c>
      <c r="AB50">
        <v>671</v>
      </c>
      <c r="AC50">
        <f t="shared" si="0"/>
        <v>22.641509433962263</v>
      </c>
      <c r="AD50" s="2">
        <f t="shared" si="1"/>
        <v>0.44083333333333335</v>
      </c>
      <c r="AE50">
        <v>52.5</v>
      </c>
      <c r="AF50">
        <v>1200</v>
      </c>
      <c r="AG50">
        <v>900</v>
      </c>
      <c r="AH50">
        <f t="shared" si="2"/>
        <v>22.857142857142858</v>
      </c>
      <c r="AI50" s="2">
        <f t="shared" si="3"/>
        <v>0.25</v>
      </c>
      <c r="AJ50">
        <v>60</v>
      </c>
      <c r="AK50">
        <v>750</v>
      </c>
      <c r="AL50">
        <v>1050</v>
      </c>
      <c r="AM50">
        <f t="shared" si="4"/>
        <v>12.5</v>
      </c>
      <c r="AN50" s="2">
        <f t="shared" si="5"/>
        <v>-0.4</v>
      </c>
      <c r="AO50">
        <v>56.25</v>
      </c>
      <c r="AP50">
        <v>0</v>
      </c>
      <c r="AQ50">
        <v>651</v>
      </c>
      <c r="AR50">
        <f t="shared" si="6"/>
        <v>0</v>
      </c>
      <c r="AS50" s="2" t="e">
        <f t="shared" si="7"/>
        <v>#DIV/0!</v>
      </c>
      <c r="AT50">
        <v>0</v>
      </c>
      <c r="AU50" s="1">
        <v>45751.437888844703</v>
      </c>
    </row>
    <row r="51" spans="1:47" x14ac:dyDescent="0.25">
      <c r="A51" s="1">
        <v>45740</v>
      </c>
      <c r="B51" t="s">
        <v>104</v>
      </c>
      <c r="C51" t="s">
        <v>48</v>
      </c>
      <c r="D51" t="s">
        <v>52</v>
      </c>
      <c r="E51" t="s">
        <v>50</v>
      </c>
      <c r="F51" t="s">
        <v>47</v>
      </c>
      <c r="G51">
        <v>4</v>
      </c>
      <c r="H51">
        <v>3711</v>
      </c>
      <c r="I51">
        <v>2740</v>
      </c>
      <c r="J51">
        <v>99</v>
      </c>
      <c r="K51">
        <v>670</v>
      </c>
      <c r="L51">
        <v>301</v>
      </c>
      <c r="M51">
        <v>0</v>
      </c>
      <c r="N51">
        <v>0</v>
      </c>
      <c r="Z51">
        <v>45.5</v>
      </c>
      <c r="AA51">
        <v>1300</v>
      </c>
      <c r="AB51">
        <v>581</v>
      </c>
      <c r="AC51">
        <f t="shared" si="0"/>
        <v>28.571428571428573</v>
      </c>
      <c r="AD51" s="2">
        <f t="shared" si="1"/>
        <v>0.55307692307692302</v>
      </c>
      <c r="AE51">
        <v>76.5</v>
      </c>
      <c r="AF51">
        <v>1300</v>
      </c>
      <c r="AG51">
        <v>1176</v>
      </c>
      <c r="AH51">
        <f t="shared" si="2"/>
        <v>16.993464052287582</v>
      </c>
      <c r="AI51" s="2">
        <f t="shared" si="3"/>
        <v>9.5384615384615387E-2</v>
      </c>
      <c r="AJ51">
        <v>68</v>
      </c>
      <c r="AK51">
        <v>1400</v>
      </c>
      <c r="AL51">
        <v>1288</v>
      </c>
      <c r="AM51">
        <f t="shared" si="4"/>
        <v>20.588235294117649</v>
      </c>
      <c r="AN51" s="2">
        <f t="shared" si="5"/>
        <v>0.08</v>
      </c>
      <c r="AO51">
        <v>52</v>
      </c>
      <c r="AP51">
        <v>800</v>
      </c>
      <c r="AQ51">
        <v>666</v>
      </c>
      <c r="AR51">
        <f t="shared" si="6"/>
        <v>15.384615384615385</v>
      </c>
      <c r="AS51" s="2">
        <f t="shared" si="7"/>
        <v>0.16750000000000001</v>
      </c>
      <c r="AT51">
        <v>0</v>
      </c>
      <c r="AU51" s="1">
        <v>45751.432704904968</v>
      </c>
    </row>
    <row r="52" spans="1:47" x14ac:dyDescent="0.25">
      <c r="A52" s="1">
        <v>45737</v>
      </c>
      <c r="B52" t="s">
        <v>105</v>
      </c>
      <c r="C52" t="s">
        <v>48</v>
      </c>
      <c r="D52" t="s">
        <v>52</v>
      </c>
      <c r="E52" t="s">
        <v>50</v>
      </c>
      <c r="F52" t="s">
        <v>51</v>
      </c>
      <c r="G52">
        <v>5</v>
      </c>
      <c r="H52">
        <v>4024</v>
      </c>
      <c r="I52">
        <v>2874</v>
      </c>
      <c r="J52">
        <v>100</v>
      </c>
      <c r="K52">
        <v>800</v>
      </c>
      <c r="L52">
        <v>350</v>
      </c>
      <c r="M52">
        <v>146</v>
      </c>
      <c r="N52">
        <v>150</v>
      </c>
      <c r="Z52">
        <v>56</v>
      </c>
      <c r="AA52">
        <v>1280</v>
      </c>
      <c r="AB52">
        <v>830</v>
      </c>
      <c r="AC52">
        <f t="shared" si="0"/>
        <v>22.857142857142858</v>
      </c>
      <c r="AD52" s="2">
        <f t="shared" si="1"/>
        <v>0.3515625</v>
      </c>
      <c r="AE52">
        <v>72</v>
      </c>
      <c r="AF52">
        <v>1280</v>
      </c>
      <c r="AG52">
        <v>1230</v>
      </c>
      <c r="AH52">
        <f t="shared" si="2"/>
        <v>17.777777777777779</v>
      </c>
      <c r="AI52" s="2">
        <f t="shared" si="3"/>
        <v>3.90625E-2</v>
      </c>
      <c r="AJ52">
        <v>72</v>
      </c>
      <c r="AK52">
        <v>1400</v>
      </c>
      <c r="AL52">
        <v>1331</v>
      </c>
      <c r="AM52">
        <f t="shared" si="4"/>
        <v>19.444444444444443</v>
      </c>
      <c r="AN52" s="2">
        <f t="shared" si="5"/>
        <v>4.9285714285714287E-2</v>
      </c>
      <c r="AO52">
        <v>56</v>
      </c>
      <c r="AP52">
        <v>690</v>
      </c>
      <c r="AQ52">
        <v>633</v>
      </c>
      <c r="AR52">
        <f t="shared" si="6"/>
        <v>12.321428571428571</v>
      </c>
      <c r="AS52" s="2">
        <f t="shared" si="7"/>
        <v>8.2608695652173908E-2</v>
      </c>
      <c r="AT52">
        <v>0</v>
      </c>
      <c r="AU52" s="1">
        <v>45750.607343766867</v>
      </c>
    </row>
    <row r="53" spans="1:47" x14ac:dyDescent="0.25">
      <c r="A53" s="1">
        <v>45737</v>
      </c>
      <c r="B53" t="s">
        <v>106</v>
      </c>
      <c r="C53" t="s">
        <v>48</v>
      </c>
      <c r="D53" t="s">
        <v>52</v>
      </c>
      <c r="E53" t="s">
        <v>50</v>
      </c>
      <c r="F53" t="s">
        <v>47</v>
      </c>
      <c r="G53">
        <v>5</v>
      </c>
      <c r="H53">
        <v>3800</v>
      </c>
      <c r="I53">
        <v>2780</v>
      </c>
      <c r="J53">
        <v>106</v>
      </c>
      <c r="K53">
        <v>770</v>
      </c>
      <c r="L53">
        <v>275</v>
      </c>
      <c r="M53">
        <v>0</v>
      </c>
      <c r="N53">
        <v>0</v>
      </c>
      <c r="Z53">
        <v>56</v>
      </c>
      <c r="AA53">
        <v>1400</v>
      </c>
      <c r="AB53">
        <v>726</v>
      </c>
      <c r="AC53">
        <f t="shared" si="0"/>
        <v>25</v>
      </c>
      <c r="AD53" s="2">
        <f t="shared" si="1"/>
        <v>0.48142857142857143</v>
      </c>
      <c r="AE53">
        <v>67.5</v>
      </c>
      <c r="AF53">
        <v>1400</v>
      </c>
      <c r="AG53">
        <v>1290</v>
      </c>
      <c r="AH53">
        <f t="shared" si="2"/>
        <v>20.74074074074074</v>
      </c>
      <c r="AI53" s="2">
        <f t="shared" si="3"/>
        <v>7.857142857142857E-2</v>
      </c>
      <c r="AJ53">
        <v>67.5</v>
      </c>
      <c r="AK53">
        <v>1350</v>
      </c>
      <c r="AL53">
        <v>1210</v>
      </c>
      <c r="AM53">
        <f t="shared" si="4"/>
        <v>20</v>
      </c>
      <c r="AN53" s="2">
        <f t="shared" si="5"/>
        <v>0.1037037037037037</v>
      </c>
      <c r="AO53">
        <v>52</v>
      </c>
      <c r="AP53">
        <v>700</v>
      </c>
      <c r="AQ53">
        <v>574</v>
      </c>
      <c r="AR53">
        <f t="shared" si="6"/>
        <v>13.461538461538462</v>
      </c>
      <c r="AS53" s="2">
        <f t="shared" si="7"/>
        <v>0.18</v>
      </c>
      <c r="AT53">
        <v>0</v>
      </c>
      <c r="AU53" s="1">
        <v>45751.430223621101</v>
      </c>
    </row>
    <row r="54" spans="1:47" x14ac:dyDescent="0.25">
      <c r="A54" s="1">
        <v>45736</v>
      </c>
      <c r="B54" t="s">
        <v>107</v>
      </c>
      <c r="C54" t="s">
        <v>48</v>
      </c>
      <c r="D54" t="s">
        <v>49</v>
      </c>
      <c r="E54" t="s">
        <v>108</v>
      </c>
      <c r="F54" t="s">
        <v>51</v>
      </c>
      <c r="G54">
        <v>6</v>
      </c>
      <c r="H54">
        <v>4300</v>
      </c>
      <c r="I54">
        <v>3347</v>
      </c>
      <c r="J54">
        <v>101</v>
      </c>
      <c r="K54">
        <v>600</v>
      </c>
      <c r="L54">
        <v>1000</v>
      </c>
      <c r="M54">
        <v>205</v>
      </c>
      <c r="N54">
        <v>160</v>
      </c>
      <c r="Z54">
        <v>68</v>
      </c>
      <c r="AA54">
        <v>1400</v>
      </c>
      <c r="AB54">
        <v>821</v>
      </c>
      <c r="AC54">
        <f t="shared" si="0"/>
        <v>20.588235294117649</v>
      </c>
      <c r="AD54" s="2">
        <f t="shared" si="1"/>
        <v>0.41357142857142859</v>
      </c>
      <c r="AE54">
        <v>85.5</v>
      </c>
      <c r="AF54">
        <v>1400</v>
      </c>
      <c r="AG54">
        <v>1375</v>
      </c>
      <c r="AH54">
        <f t="shared" si="2"/>
        <v>16.374269005847953</v>
      </c>
      <c r="AI54" s="2">
        <f t="shared" si="3"/>
        <v>1.7857142857142856E-2</v>
      </c>
      <c r="AJ54">
        <v>85.5</v>
      </c>
      <c r="AK54">
        <v>1550</v>
      </c>
      <c r="AL54">
        <v>1500</v>
      </c>
      <c r="AM54">
        <f t="shared" si="4"/>
        <v>18.128654970760234</v>
      </c>
      <c r="AN54" s="2">
        <f t="shared" si="5"/>
        <v>3.2258064516129031E-2</v>
      </c>
      <c r="AO54">
        <v>68</v>
      </c>
      <c r="AP54">
        <v>650</v>
      </c>
      <c r="AQ54">
        <v>616</v>
      </c>
      <c r="AR54">
        <f t="shared" si="6"/>
        <v>9.5588235294117645</v>
      </c>
      <c r="AS54" s="2">
        <f t="shared" si="7"/>
        <v>5.2307692307692305E-2</v>
      </c>
      <c r="AT54">
        <v>0</v>
      </c>
      <c r="AU54" s="1">
        <v>45737.83488166146</v>
      </c>
    </row>
    <row r="55" spans="1:47" x14ac:dyDescent="0.25">
      <c r="A55" s="1">
        <v>45736</v>
      </c>
      <c r="B55" t="s">
        <v>109</v>
      </c>
      <c r="C55" t="s">
        <v>48</v>
      </c>
      <c r="D55" t="s">
        <v>52</v>
      </c>
      <c r="E55" t="s">
        <v>108</v>
      </c>
      <c r="F55" t="s">
        <v>47</v>
      </c>
      <c r="G55">
        <v>5.5</v>
      </c>
      <c r="H55">
        <v>3811</v>
      </c>
      <c r="I55">
        <v>2526</v>
      </c>
      <c r="J55">
        <v>70</v>
      </c>
      <c r="K55">
        <v>1105</v>
      </c>
      <c r="L55">
        <v>180</v>
      </c>
      <c r="M55">
        <v>0</v>
      </c>
      <c r="N55">
        <v>0</v>
      </c>
      <c r="Z55">
        <v>42</v>
      </c>
      <c r="AA55">
        <v>1300</v>
      </c>
      <c r="AB55">
        <v>651</v>
      </c>
      <c r="AC55">
        <f t="shared" si="0"/>
        <v>30.952380952380953</v>
      </c>
      <c r="AD55" s="2">
        <f t="shared" si="1"/>
        <v>0.49923076923076926</v>
      </c>
      <c r="AE55">
        <v>63.75</v>
      </c>
      <c r="AF55">
        <v>1300</v>
      </c>
      <c r="AG55">
        <v>1265</v>
      </c>
      <c r="AH55">
        <f t="shared" si="2"/>
        <v>20.392156862745097</v>
      </c>
      <c r="AI55" s="2">
        <f t="shared" si="3"/>
        <v>2.6923076923076925E-2</v>
      </c>
      <c r="AJ55">
        <v>59.5</v>
      </c>
      <c r="AK55">
        <v>1300</v>
      </c>
      <c r="AL55">
        <v>1255</v>
      </c>
      <c r="AM55">
        <f t="shared" si="4"/>
        <v>21.84873949579832</v>
      </c>
      <c r="AN55" s="2">
        <f t="shared" si="5"/>
        <v>3.4615384615384617E-2</v>
      </c>
      <c r="AO55">
        <v>42</v>
      </c>
      <c r="AP55">
        <v>650</v>
      </c>
      <c r="AQ55">
        <v>640</v>
      </c>
      <c r="AR55">
        <f t="shared" si="6"/>
        <v>15.476190476190476</v>
      </c>
      <c r="AS55" s="2">
        <f t="shared" si="7"/>
        <v>1.5384615384615385E-2</v>
      </c>
      <c r="AT55">
        <v>0</v>
      </c>
      <c r="AU55" s="1">
        <v>45737.839347355322</v>
      </c>
    </row>
    <row r="56" spans="1:47" x14ac:dyDescent="0.25">
      <c r="A56" s="1">
        <v>45735</v>
      </c>
      <c r="B56" t="s">
        <v>110</v>
      </c>
      <c r="C56" t="s">
        <v>48</v>
      </c>
      <c r="D56" t="s">
        <v>52</v>
      </c>
      <c r="E56" t="s">
        <v>111</v>
      </c>
      <c r="F56" t="s">
        <v>47</v>
      </c>
      <c r="G56">
        <v>4</v>
      </c>
      <c r="H56">
        <v>3906</v>
      </c>
      <c r="I56">
        <v>2870</v>
      </c>
      <c r="J56">
        <v>66</v>
      </c>
      <c r="K56">
        <v>686</v>
      </c>
      <c r="L56">
        <v>350</v>
      </c>
      <c r="M56">
        <v>0</v>
      </c>
      <c r="N56">
        <v>0</v>
      </c>
      <c r="Z56">
        <v>56</v>
      </c>
      <c r="AA56">
        <v>1350</v>
      </c>
      <c r="AB56">
        <v>660</v>
      </c>
      <c r="AC56">
        <f t="shared" si="0"/>
        <v>24.107142857142858</v>
      </c>
      <c r="AD56" s="2">
        <f t="shared" si="1"/>
        <v>0.51111111111111107</v>
      </c>
      <c r="AE56">
        <v>76.5</v>
      </c>
      <c r="AF56">
        <v>1350</v>
      </c>
      <c r="AG56">
        <v>1290</v>
      </c>
      <c r="AH56">
        <f t="shared" si="2"/>
        <v>17.647058823529413</v>
      </c>
      <c r="AI56" s="2">
        <f t="shared" si="3"/>
        <v>4.4444444444444446E-2</v>
      </c>
      <c r="AJ56">
        <v>72</v>
      </c>
      <c r="AK56">
        <v>1470</v>
      </c>
      <c r="AL56">
        <v>1413</v>
      </c>
      <c r="AM56">
        <f t="shared" si="4"/>
        <v>20.416666666666668</v>
      </c>
      <c r="AN56" s="2">
        <f t="shared" si="5"/>
        <v>3.8775510204081633E-2</v>
      </c>
      <c r="AO56">
        <v>52.5</v>
      </c>
      <c r="AP56">
        <v>650</v>
      </c>
      <c r="AQ56">
        <v>543</v>
      </c>
      <c r="AR56">
        <f t="shared" si="6"/>
        <v>12.380952380952381</v>
      </c>
      <c r="AS56" s="2">
        <f t="shared" si="7"/>
        <v>0.16461538461538461</v>
      </c>
      <c r="AT56">
        <v>0</v>
      </c>
      <c r="AU56" s="1">
        <v>45737.75012439127</v>
      </c>
    </row>
    <row r="57" spans="1:47" x14ac:dyDescent="0.25">
      <c r="A57" s="1">
        <v>45733</v>
      </c>
      <c r="B57" t="s">
        <v>112</v>
      </c>
      <c r="C57" t="s">
        <v>48</v>
      </c>
      <c r="D57" t="s">
        <v>49</v>
      </c>
      <c r="E57" t="s">
        <v>111</v>
      </c>
      <c r="F57" t="s">
        <v>51</v>
      </c>
      <c r="G57">
        <v>3</v>
      </c>
      <c r="H57">
        <v>2513</v>
      </c>
      <c r="I57">
        <v>2253</v>
      </c>
      <c r="J57">
        <v>52</v>
      </c>
      <c r="K57">
        <v>0</v>
      </c>
      <c r="L57">
        <v>0</v>
      </c>
      <c r="M57">
        <v>130</v>
      </c>
      <c r="N57">
        <v>130</v>
      </c>
      <c r="Z57">
        <v>52</v>
      </c>
      <c r="AA57">
        <v>580</v>
      </c>
      <c r="AB57">
        <v>580</v>
      </c>
      <c r="AC57">
        <f t="shared" si="0"/>
        <v>11.153846153846153</v>
      </c>
      <c r="AD57" s="2">
        <f t="shared" si="1"/>
        <v>0</v>
      </c>
      <c r="AE57">
        <v>68.25</v>
      </c>
      <c r="AF57">
        <v>580</v>
      </c>
      <c r="AG57">
        <v>482</v>
      </c>
      <c r="AH57">
        <f t="shared" si="2"/>
        <v>8.4981684981684982</v>
      </c>
      <c r="AI57" s="2">
        <f t="shared" si="3"/>
        <v>0.16896551724137931</v>
      </c>
      <c r="AJ57">
        <v>71.5</v>
      </c>
      <c r="AK57">
        <v>1070</v>
      </c>
      <c r="AL57">
        <v>1022</v>
      </c>
      <c r="AM57">
        <f t="shared" si="4"/>
        <v>14.965034965034965</v>
      </c>
      <c r="AN57" s="2">
        <f t="shared" si="5"/>
        <v>4.4859813084112146E-2</v>
      </c>
      <c r="AO57">
        <v>58.5</v>
      </c>
      <c r="AP57">
        <v>470</v>
      </c>
      <c r="AQ57">
        <v>435</v>
      </c>
      <c r="AR57">
        <f t="shared" si="6"/>
        <v>8.0341880341880341</v>
      </c>
      <c r="AS57" s="2">
        <f t="shared" si="7"/>
        <v>7.4468085106382975E-2</v>
      </c>
      <c r="AT57">
        <v>0</v>
      </c>
      <c r="AU57" s="1">
        <v>45737.568813222439</v>
      </c>
    </row>
    <row r="58" spans="1:47" x14ac:dyDescent="0.25">
      <c r="A58" s="1">
        <v>45730</v>
      </c>
      <c r="B58" t="s">
        <v>113</v>
      </c>
      <c r="C58" t="s">
        <v>48</v>
      </c>
      <c r="D58" t="s">
        <v>52</v>
      </c>
      <c r="E58" t="s">
        <v>114</v>
      </c>
      <c r="F58" t="s">
        <v>51</v>
      </c>
      <c r="G58">
        <v>8</v>
      </c>
      <c r="H58">
        <v>3700</v>
      </c>
      <c r="I58">
        <v>3700</v>
      </c>
      <c r="J58">
        <v>127</v>
      </c>
      <c r="K58">
        <v>0</v>
      </c>
      <c r="L58">
        <v>0</v>
      </c>
      <c r="M58">
        <v>0</v>
      </c>
      <c r="N58">
        <v>0</v>
      </c>
      <c r="Z58">
        <v>42</v>
      </c>
      <c r="AA58">
        <v>1300</v>
      </c>
      <c r="AB58">
        <v>537</v>
      </c>
      <c r="AC58">
        <f t="shared" si="0"/>
        <v>30.952380952380953</v>
      </c>
      <c r="AD58" s="2">
        <f t="shared" si="1"/>
        <v>0.58692307692307688</v>
      </c>
      <c r="AE58">
        <v>81</v>
      </c>
      <c r="AF58">
        <v>1300</v>
      </c>
      <c r="AG58">
        <v>1200</v>
      </c>
      <c r="AH58">
        <f t="shared" si="2"/>
        <v>16.049382716049383</v>
      </c>
      <c r="AI58" s="2">
        <f t="shared" si="3"/>
        <v>7.6923076923076927E-2</v>
      </c>
      <c r="AJ58">
        <v>76</v>
      </c>
      <c r="AK58">
        <v>1500</v>
      </c>
      <c r="AL58">
        <v>1400</v>
      </c>
      <c r="AM58">
        <f t="shared" si="4"/>
        <v>19.736842105263158</v>
      </c>
      <c r="AN58" s="2">
        <f t="shared" si="5"/>
        <v>6.6666666666666666E-2</v>
      </c>
      <c r="AO58">
        <v>52</v>
      </c>
      <c r="AP58">
        <v>600</v>
      </c>
      <c r="AQ58">
        <v>563</v>
      </c>
      <c r="AR58">
        <f t="shared" si="6"/>
        <v>11.538461538461538</v>
      </c>
      <c r="AS58" s="2">
        <f t="shared" si="7"/>
        <v>6.1666666666666668E-2</v>
      </c>
      <c r="AT58">
        <v>0</v>
      </c>
      <c r="AU58" s="1">
        <v>45737.568813218459</v>
      </c>
    </row>
    <row r="59" spans="1:47" x14ac:dyDescent="0.25">
      <c r="A59" s="1">
        <v>45730</v>
      </c>
      <c r="B59" t="s">
        <v>115</v>
      </c>
      <c r="C59" t="s">
        <v>48</v>
      </c>
      <c r="D59" t="s">
        <v>52</v>
      </c>
      <c r="E59" t="s">
        <v>114</v>
      </c>
      <c r="F59" t="s">
        <v>47</v>
      </c>
      <c r="G59">
        <v>7</v>
      </c>
      <c r="H59">
        <v>4070</v>
      </c>
      <c r="I59">
        <v>4070</v>
      </c>
      <c r="J59">
        <v>88</v>
      </c>
      <c r="K59">
        <v>0</v>
      </c>
      <c r="L59">
        <v>0</v>
      </c>
      <c r="M59">
        <v>0</v>
      </c>
      <c r="N59">
        <v>0</v>
      </c>
      <c r="Z59">
        <v>45</v>
      </c>
      <c r="AA59">
        <v>1600</v>
      </c>
      <c r="AB59">
        <v>550</v>
      </c>
      <c r="AC59">
        <f t="shared" si="0"/>
        <v>35.555555555555557</v>
      </c>
      <c r="AD59" s="2">
        <f t="shared" si="1"/>
        <v>0.65625</v>
      </c>
      <c r="AE59">
        <v>93.5</v>
      </c>
      <c r="AF59">
        <v>1600</v>
      </c>
      <c r="AG59">
        <v>1550</v>
      </c>
      <c r="AH59">
        <f t="shared" si="2"/>
        <v>17.112299465240643</v>
      </c>
      <c r="AI59" s="2">
        <f t="shared" si="3"/>
        <v>3.125E-2</v>
      </c>
      <c r="AJ59">
        <v>93.5</v>
      </c>
      <c r="AK59">
        <v>1700</v>
      </c>
      <c r="AL59">
        <v>1500</v>
      </c>
      <c r="AM59">
        <f t="shared" si="4"/>
        <v>18.181818181818183</v>
      </c>
      <c r="AN59" s="2">
        <f t="shared" si="5"/>
        <v>0.11764705882352941</v>
      </c>
      <c r="AO59">
        <v>42.5</v>
      </c>
      <c r="AP59">
        <v>550</v>
      </c>
      <c r="AQ59">
        <v>500</v>
      </c>
      <c r="AR59">
        <f t="shared" si="6"/>
        <v>12.941176470588236</v>
      </c>
      <c r="AS59" s="2">
        <f t="shared" si="7"/>
        <v>9.0909090909090912E-2</v>
      </c>
      <c r="AT59">
        <v>0</v>
      </c>
      <c r="AU59" s="1">
        <v>45737.568813216167</v>
      </c>
    </row>
    <row r="60" spans="1:47" x14ac:dyDescent="0.25">
      <c r="A60" s="1">
        <v>45729</v>
      </c>
      <c r="B60" t="s">
        <v>116</v>
      </c>
      <c r="C60" t="s">
        <v>48</v>
      </c>
      <c r="D60" t="s">
        <v>52</v>
      </c>
      <c r="E60" t="s">
        <v>117</v>
      </c>
      <c r="F60" t="s">
        <v>47</v>
      </c>
      <c r="G60">
        <v>5</v>
      </c>
      <c r="H60">
        <v>3655</v>
      </c>
      <c r="I60">
        <v>2610</v>
      </c>
      <c r="J60">
        <v>105</v>
      </c>
      <c r="K60">
        <v>840</v>
      </c>
      <c r="L60">
        <v>200</v>
      </c>
      <c r="M60">
        <v>0</v>
      </c>
      <c r="N60">
        <v>0</v>
      </c>
      <c r="Z60">
        <v>48</v>
      </c>
      <c r="AA60">
        <v>1300</v>
      </c>
      <c r="AB60">
        <v>604</v>
      </c>
      <c r="AC60">
        <f t="shared" si="0"/>
        <v>27.083333333333332</v>
      </c>
      <c r="AD60" s="2">
        <f t="shared" si="1"/>
        <v>0.53538461538461535</v>
      </c>
      <c r="AE60">
        <v>72</v>
      </c>
      <c r="AF60">
        <v>1300</v>
      </c>
      <c r="AG60">
        <v>1217</v>
      </c>
      <c r="AH60">
        <f t="shared" si="2"/>
        <v>18.055555555555557</v>
      </c>
      <c r="AI60" s="2">
        <f t="shared" si="3"/>
        <v>6.3846153846153844E-2</v>
      </c>
      <c r="AJ60">
        <v>81</v>
      </c>
      <c r="AK60">
        <v>1300</v>
      </c>
      <c r="AL60">
        <v>1249</v>
      </c>
      <c r="AM60">
        <f t="shared" si="4"/>
        <v>16.049382716049383</v>
      </c>
      <c r="AN60" s="2">
        <f t="shared" si="5"/>
        <v>3.9230769230769229E-2</v>
      </c>
      <c r="AO60">
        <v>49</v>
      </c>
      <c r="AP60">
        <v>630</v>
      </c>
      <c r="AQ60">
        <v>585</v>
      </c>
      <c r="AR60">
        <f t="shared" si="6"/>
        <v>12.857142857142858</v>
      </c>
      <c r="AS60" s="2">
        <f t="shared" si="7"/>
        <v>7.1428571428571425E-2</v>
      </c>
      <c r="AT60">
        <v>0</v>
      </c>
      <c r="AU60" s="1">
        <v>45737.56881234399</v>
      </c>
    </row>
    <row r="61" spans="1:47" x14ac:dyDescent="0.25">
      <c r="A61" s="1">
        <v>45729</v>
      </c>
      <c r="B61" t="s">
        <v>118</v>
      </c>
      <c r="C61" t="s">
        <v>48</v>
      </c>
      <c r="D61" t="s">
        <v>52</v>
      </c>
      <c r="E61" t="s">
        <v>114</v>
      </c>
      <c r="F61" t="s">
        <v>51</v>
      </c>
      <c r="G61">
        <v>6</v>
      </c>
      <c r="H61">
        <v>3710</v>
      </c>
      <c r="I61">
        <v>3100</v>
      </c>
      <c r="J61">
        <v>113</v>
      </c>
      <c r="K61">
        <v>425</v>
      </c>
      <c r="L61">
        <v>185</v>
      </c>
      <c r="M61">
        <v>0</v>
      </c>
      <c r="N61">
        <v>0</v>
      </c>
      <c r="Z61">
        <v>52.5</v>
      </c>
      <c r="AA61">
        <v>1430</v>
      </c>
      <c r="AB61">
        <v>470</v>
      </c>
      <c r="AC61">
        <f t="shared" si="0"/>
        <v>27.238095238095237</v>
      </c>
      <c r="AD61" s="2">
        <f t="shared" si="1"/>
        <v>0.67132867132867136</v>
      </c>
      <c r="AE61">
        <v>76.5</v>
      </c>
      <c r="AF61">
        <v>1430</v>
      </c>
      <c r="AG61">
        <v>1200</v>
      </c>
      <c r="AH61">
        <f t="shared" si="2"/>
        <v>18.692810457516341</v>
      </c>
      <c r="AI61" s="2">
        <f t="shared" si="3"/>
        <v>0.16083916083916083</v>
      </c>
      <c r="AJ61">
        <v>76</v>
      </c>
      <c r="AK61">
        <v>1420</v>
      </c>
      <c r="AL61">
        <v>1378</v>
      </c>
      <c r="AM61">
        <f t="shared" si="4"/>
        <v>18.684210526315791</v>
      </c>
      <c r="AN61" s="2">
        <f t="shared" si="5"/>
        <v>2.9577464788732393E-2</v>
      </c>
      <c r="AO61">
        <v>59.5</v>
      </c>
      <c r="AP61">
        <v>700</v>
      </c>
      <c r="AQ61">
        <v>662</v>
      </c>
      <c r="AR61">
        <f t="shared" si="6"/>
        <v>11.764705882352942</v>
      </c>
      <c r="AS61" s="2">
        <f t="shared" si="7"/>
        <v>5.4285714285714284E-2</v>
      </c>
      <c r="AT61">
        <v>0</v>
      </c>
      <c r="AU61" s="1">
        <v>45737.568813210601</v>
      </c>
    </row>
    <row r="62" spans="1:47" x14ac:dyDescent="0.25">
      <c r="A62" s="1">
        <v>45729</v>
      </c>
      <c r="B62" t="s">
        <v>119</v>
      </c>
      <c r="C62" t="s">
        <v>48</v>
      </c>
      <c r="D62" t="s">
        <v>52</v>
      </c>
      <c r="E62" t="s">
        <v>114</v>
      </c>
      <c r="F62" t="s">
        <v>47</v>
      </c>
      <c r="G62">
        <v>6</v>
      </c>
      <c r="H62">
        <v>3800</v>
      </c>
      <c r="I62">
        <v>2505</v>
      </c>
      <c r="J62">
        <v>106</v>
      </c>
      <c r="K62">
        <v>1105</v>
      </c>
      <c r="L62">
        <v>190</v>
      </c>
      <c r="M62">
        <v>0</v>
      </c>
      <c r="N62">
        <v>0</v>
      </c>
      <c r="Z62">
        <v>67.5</v>
      </c>
      <c r="AA62">
        <v>1500</v>
      </c>
      <c r="AB62">
        <v>450</v>
      </c>
      <c r="AC62">
        <f t="shared" si="0"/>
        <v>22.222222222222221</v>
      </c>
      <c r="AD62" s="2">
        <f t="shared" si="1"/>
        <v>0.7</v>
      </c>
      <c r="AE62">
        <v>114</v>
      </c>
      <c r="AF62">
        <v>1500</v>
      </c>
      <c r="AG62">
        <v>1450</v>
      </c>
      <c r="AH62">
        <f t="shared" si="2"/>
        <v>13.157894736842104</v>
      </c>
      <c r="AI62" s="2">
        <f t="shared" si="3"/>
        <v>3.3333333333333333E-2</v>
      </c>
      <c r="AJ62">
        <v>117</v>
      </c>
      <c r="AK62">
        <v>1750</v>
      </c>
      <c r="AL62">
        <v>1500</v>
      </c>
      <c r="AM62">
        <f t="shared" si="4"/>
        <v>14.957264957264957</v>
      </c>
      <c r="AN62" s="2">
        <f t="shared" si="5"/>
        <v>0.14285714285714285</v>
      </c>
      <c r="AO62">
        <v>70</v>
      </c>
      <c r="AP62">
        <v>700</v>
      </c>
      <c r="AQ62">
        <v>400</v>
      </c>
      <c r="AR62">
        <f t="shared" si="6"/>
        <v>10</v>
      </c>
      <c r="AS62" s="2">
        <f t="shared" si="7"/>
        <v>0.42857142857142855</v>
      </c>
      <c r="AT62">
        <v>0</v>
      </c>
      <c r="AU62" s="1">
        <v>45737.568813213649</v>
      </c>
    </row>
    <row r="63" spans="1:47" x14ac:dyDescent="0.25">
      <c r="A63" s="1">
        <v>45728</v>
      </c>
      <c r="B63" t="s">
        <v>120</v>
      </c>
      <c r="C63" t="s">
        <v>48</v>
      </c>
      <c r="D63" t="s">
        <v>49</v>
      </c>
      <c r="E63" t="s">
        <v>114</v>
      </c>
      <c r="F63" t="s">
        <v>51</v>
      </c>
      <c r="G63">
        <v>6.5</v>
      </c>
      <c r="H63">
        <v>3630</v>
      </c>
      <c r="I63">
        <v>3464</v>
      </c>
      <c r="J63">
        <v>123</v>
      </c>
      <c r="K63">
        <v>0</v>
      </c>
      <c r="L63">
        <v>0</v>
      </c>
      <c r="M63">
        <v>85</v>
      </c>
      <c r="N63">
        <v>81</v>
      </c>
      <c r="Z63">
        <v>61.75</v>
      </c>
      <c r="AA63">
        <v>1300</v>
      </c>
      <c r="AB63">
        <v>567</v>
      </c>
      <c r="AC63">
        <f t="shared" si="0"/>
        <v>21.05263157894737</v>
      </c>
      <c r="AD63" s="2">
        <f t="shared" si="1"/>
        <v>0.56384615384615389</v>
      </c>
      <c r="AE63">
        <v>93.5</v>
      </c>
      <c r="AF63">
        <v>1300</v>
      </c>
      <c r="AG63">
        <v>1210</v>
      </c>
      <c r="AH63">
        <f t="shared" si="2"/>
        <v>13.903743315508022</v>
      </c>
      <c r="AI63" s="2">
        <f t="shared" si="3"/>
        <v>6.9230769230769235E-2</v>
      </c>
      <c r="AJ63">
        <v>92</v>
      </c>
      <c r="AK63">
        <v>1550</v>
      </c>
      <c r="AL63">
        <v>1450</v>
      </c>
      <c r="AM63">
        <f t="shared" si="4"/>
        <v>16.847826086956523</v>
      </c>
      <c r="AN63" s="2">
        <f t="shared" si="5"/>
        <v>6.4516129032258063E-2</v>
      </c>
      <c r="AO63">
        <v>60</v>
      </c>
      <c r="AP63">
        <v>500</v>
      </c>
      <c r="AQ63">
        <v>433</v>
      </c>
      <c r="AR63">
        <f t="shared" si="6"/>
        <v>8.3333333333333339</v>
      </c>
      <c r="AS63" s="2">
        <f t="shared" si="7"/>
        <v>0.13400000000000001</v>
      </c>
      <c r="AT63">
        <v>0</v>
      </c>
      <c r="AU63" s="1">
        <v>45737.568813207348</v>
      </c>
    </row>
    <row r="64" spans="1:47" x14ac:dyDescent="0.25">
      <c r="A64" s="1">
        <v>45728</v>
      </c>
      <c r="B64" t="s">
        <v>121</v>
      </c>
      <c r="C64" t="s">
        <v>48</v>
      </c>
      <c r="D64" t="s">
        <v>52</v>
      </c>
      <c r="E64" t="s">
        <v>114</v>
      </c>
      <c r="F64" t="s">
        <v>47</v>
      </c>
      <c r="G64">
        <v>7</v>
      </c>
      <c r="H64">
        <v>4222</v>
      </c>
      <c r="I64">
        <v>3872</v>
      </c>
      <c r="J64">
        <v>108</v>
      </c>
      <c r="K64">
        <v>0</v>
      </c>
      <c r="L64">
        <v>0</v>
      </c>
      <c r="M64">
        <v>180</v>
      </c>
      <c r="N64">
        <v>170</v>
      </c>
      <c r="Z64">
        <v>50</v>
      </c>
      <c r="AA64">
        <v>1650</v>
      </c>
      <c r="AB64">
        <v>400</v>
      </c>
      <c r="AC64">
        <f t="shared" si="0"/>
        <v>33</v>
      </c>
      <c r="AD64" s="2">
        <f t="shared" si="1"/>
        <v>0.75757575757575757</v>
      </c>
      <c r="AE64">
        <v>82.5</v>
      </c>
      <c r="AF64">
        <v>1650</v>
      </c>
      <c r="AG64">
        <v>1600</v>
      </c>
      <c r="AH64">
        <f t="shared" si="2"/>
        <v>20</v>
      </c>
      <c r="AI64" s="2">
        <f t="shared" si="3"/>
        <v>3.0303030303030304E-2</v>
      </c>
      <c r="AJ64">
        <v>82.5</v>
      </c>
      <c r="AK64">
        <v>1650</v>
      </c>
      <c r="AL64">
        <v>1575</v>
      </c>
      <c r="AM64">
        <f t="shared" si="4"/>
        <v>20</v>
      </c>
      <c r="AN64" s="2">
        <f t="shared" si="5"/>
        <v>4.5454545454545456E-2</v>
      </c>
      <c r="AO64">
        <v>50</v>
      </c>
      <c r="AP64">
        <v>700</v>
      </c>
      <c r="AQ64">
        <v>647</v>
      </c>
      <c r="AR64">
        <f t="shared" si="6"/>
        <v>14</v>
      </c>
      <c r="AS64" s="2">
        <f t="shared" si="7"/>
        <v>7.571428571428572E-2</v>
      </c>
      <c r="AT64">
        <v>0</v>
      </c>
      <c r="AU64" s="1">
        <v>45737.568812355879</v>
      </c>
    </row>
    <row r="65" spans="1:47" x14ac:dyDescent="0.25">
      <c r="A65" s="1">
        <v>45727</v>
      </c>
      <c r="B65" t="s">
        <v>122</v>
      </c>
      <c r="C65" t="s">
        <v>48</v>
      </c>
      <c r="D65" t="s">
        <v>52</v>
      </c>
      <c r="E65" t="s">
        <v>114</v>
      </c>
      <c r="F65" t="s">
        <v>47</v>
      </c>
      <c r="G65">
        <v>6.5</v>
      </c>
      <c r="H65">
        <v>4000</v>
      </c>
      <c r="I65">
        <v>2710</v>
      </c>
      <c r="J65">
        <v>99</v>
      </c>
      <c r="K65">
        <v>773</v>
      </c>
      <c r="L65">
        <v>517</v>
      </c>
      <c r="M65">
        <v>0</v>
      </c>
      <c r="N65">
        <v>0</v>
      </c>
      <c r="Z65">
        <v>40</v>
      </c>
      <c r="AA65">
        <v>1700</v>
      </c>
      <c r="AB65">
        <v>363</v>
      </c>
      <c r="AC65">
        <f t="shared" si="0"/>
        <v>42.5</v>
      </c>
      <c r="AD65" s="2">
        <f t="shared" si="1"/>
        <v>0.78647058823529414</v>
      </c>
      <c r="AE65">
        <v>100</v>
      </c>
      <c r="AF65">
        <v>1700</v>
      </c>
      <c r="AG65">
        <v>1590</v>
      </c>
      <c r="AH65">
        <f t="shared" si="2"/>
        <v>17</v>
      </c>
      <c r="AI65" s="2">
        <f t="shared" si="3"/>
        <v>6.4705882352941183E-2</v>
      </c>
      <c r="AJ65">
        <v>99.75</v>
      </c>
      <c r="AK65">
        <v>1650</v>
      </c>
      <c r="AL65">
        <v>1544</v>
      </c>
      <c r="AM65">
        <f t="shared" si="4"/>
        <v>16.541353383458645</v>
      </c>
      <c r="AN65" s="2">
        <f t="shared" si="5"/>
        <v>6.424242424242424E-2</v>
      </c>
      <c r="AO65">
        <v>41.25</v>
      </c>
      <c r="AP65">
        <v>600</v>
      </c>
      <c r="AQ65">
        <v>503</v>
      </c>
      <c r="AR65">
        <f t="shared" si="6"/>
        <v>14.545454545454545</v>
      </c>
      <c r="AS65" s="2">
        <f t="shared" si="7"/>
        <v>0.16166666666666665</v>
      </c>
      <c r="AT65">
        <v>0</v>
      </c>
      <c r="AU65" s="1">
        <v>45737.568812353762</v>
      </c>
    </row>
    <row r="66" spans="1:47" x14ac:dyDescent="0.25">
      <c r="A66" s="1">
        <v>45727</v>
      </c>
      <c r="B66" t="s">
        <v>123</v>
      </c>
      <c r="C66" t="s">
        <v>48</v>
      </c>
      <c r="D66" t="s">
        <v>52</v>
      </c>
      <c r="E66" t="s">
        <v>114</v>
      </c>
      <c r="F66" t="s">
        <v>51</v>
      </c>
      <c r="G66">
        <v>6.5</v>
      </c>
      <c r="H66">
        <v>3498</v>
      </c>
      <c r="I66">
        <v>808</v>
      </c>
      <c r="J66">
        <v>33</v>
      </c>
      <c r="K66">
        <v>1500</v>
      </c>
      <c r="L66">
        <v>1190</v>
      </c>
      <c r="M66">
        <v>0</v>
      </c>
      <c r="N66">
        <v>0</v>
      </c>
      <c r="Z66">
        <v>58.5</v>
      </c>
      <c r="AA66">
        <v>1300</v>
      </c>
      <c r="AB66">
        <v>700</v>
      </c>
      <c r="AC66">
        <f t="shared" si="0"/>
        <v>22.222222222222221</v>
      </c>
      <c r="AD66" s="2">
        <f t="shared" si="1"/>
        <v>0.46153846153846156</v>
      </c>
      <c r="AE66">
        <v>76</v>
      </c>
      <c r="AF66">
        <v>1300</v>
      </c>
      <c r="AG66">
        <v>1200</v>
      </c>
      <c r="AH66">
        <f t="shared" si="2"/>
        <v>17.105263157894736</v>
      </c>
      <c r="AI66" s="2">
        <f t="shared" si="3"/>
        <v>7.6923076923076927E-2</v>
      </c>
      <c r="AJ66">
        <v>76</v>
      </c>
      <c r="AK66">
        <v>1050</v>
      </c>
      <c r="AL66">
        <v>930</v>
      </c>
      <c r="AM66">
        <f t="shared" si="4"/>
        <v>13.815789473684211</v>
      </c>
      <c r="AN66" s="2">
        <f t="shared" si="5"/>
        <v>0.11428571428571428</v>
      </c>
      <c r="AO66">
        <v>63.75</v>
      </c>
      <c r="AP66">
        <v>700</v>
      </c>
      <c r="AQ66">
        <v>668</v>
      </c>
      <c r="AR66">
        <f t="shared" si="6"/>
        <v>10.980392156862745</v>
      </c>
      <c r="AS66" s="2">
        <f t="shared" si="7"/>
        <v>4.5714285714285714E-2</v>
      </c>
      <c r="AT66">
        <v>0</v>
      </c>
      <c r="AU66" s="1">
        <v>45737.568812351448</v>
      </c>
    </row>
    <row r="67" spans="1:47" x14ac:dyDescent="0.25">
      <c r="A67" s="1">
        <v>45726</v>
      </c>
      <c r="B67" t="s">
        <v>124</v>
      </c>
      <c r="C67" t="s">
        <v>48</v>
      </c>
      <c r="D67" t="s">
        <v>49</v>
      </c>
      <c r="E67" t="s">
        <v>114</v>
      </c>
      <c r="F67" t="s">
        <v>51</v>
      </c>
      <c r="G67">
        <v>5</v>
      </c>
      <c r="H67">
        <v>3800</v>
      </c>
      <c r="I67">
        <v>3560</v>
      </c>
      <c r="J67">
        <v>76</v>
      </c>
      <c r="K67">
        <v>240</v>
      </c>
      <c r="L67">
        <v>0</v>
      </c>
      <c r="M67">
        <v>100</v>
      </c>
      <c r="N67">
        <v>98</v>
      </c>
      <c r="Z67">
        <v>54</v>
      </c>
      <c r="AA67">
        <v>1700</v>
      </c>
      <c r="AB67">
        <v>320</v>
      </c>
      <c r="AC67">
        <f t="shared" ref="AC67:AC72" si="8">AA67/Z67</f>
        <v>31.481481481481481</v>
      </c>
      <c r="AD67" s="2">
        <f t="shared" ref="AD67:AD72" si="9">(AA67-AB67)/AA67</f>
        <v>0.81176470588235294</v>
      </c>
      <c r="AE67">
        <v>88</v>
      </c>
      <c r="AF67">
        <v>1700</v>
      </c>
      <c r="AG67">
        <v>1580</v>
      </c>
      <c r="AH67">
        <f t="shared" ref="AH67:AH72" si="10">AF67/AE67</f>
        <v>19.318181818181817</v>
      </c>
      <c r="AI67" s="2">
        <f t="shared" ref="AI67:AI72" si="11">(AF67-AG67)/AF67</f>
        <v>7.0588235294117646E-2</v>
      </c>
      <c r="AJ67">
        <v>93.5</v>
      </c>
      <c r="AK67">
        <v>1350</v>
      </c>
      <c r="AL67">
        <v>1300</v>
      </c>
      <c r="AM67">
        <f t="shared" ref="AM67:AM72" si="12">AK67/AJ67</f>
        <v>14.438502673796792</v>
      </c>
      <c r="AN67" s="2">
        <f t="shared" ref="AN67:AN72" si="13">(AK67-AL67)/AK67</f>
        <v>3.7037037037037035E-2</v>
      </c>
      <c r="AO67">
        <v>61.75</v>
      </c>
      <c r="AP67">
        <v>630</v>
      </c>
      <c r="AQ67">
        <v>600</v>
      </c>
      <c r="AR67">
        <f t="shared" ref="AR67:AR72" si="14">AP67/AO67</f>
        <v>10.20242914979757</v>
      </c>
      <c r="AS67" s="2">
        <f t="shared" ref="AS67:AS72" si="15">(AP67-AQ67)/AP67</f>
        <v>4.7619047619047616E-2</v>
      </c>
      <c r="AT67">
        <v>0</v>
      </c>
      <c r="AU67" s="1">
        <v>45737.568812346573</v>
      </c>
    </row>
    <row r="68" spans="1:47" x14ac:dyDescent="0.25">
      <c r="A68" s="1">
        <v>45723</v>
      </c>
      <c r="B68" t="s">
        <v>125</v>
      </c>
      <c r="C68" t="s">
        <v>48</v>
      </c>
      <c r="D68" t="s">
        <v>49</v>
      </c>
      <c r="E68" t="s">
        <v>114</v>
      </c>
      <c r="F68" t="s">
        <v>51</v>
      </c>
      <c r="G68">
        <v>6.5</v>
      </c>
      <c r="H68">
        <v>3737</v>
      </c>
      <c r="I68">
        <v>3737</v>
      </c>
      <c r="J68">
        <v>80</v>
      </c>
      <c r="K68">
        <v>0</v>
      </c>
      <c r="L68">
        <v>0</v>
      </c>
      <c r="M68">
        <v>0</v>
      </c>
      <c r="N68">
        <v>0</v>
      </c>
      <c r="Z68">
        <v>48.75</v>
      </c>
      <c r="AA68">
        <v>1470</v>
      </c>
      <c r="AB68">
        <v>387</v>
      </c>
      <c r="AC68">
        <f t="shared" si="8"/>
        <v>30.153846153846153</v>
      </c>
      <c r="AD68" s="2">
        <f t="shared" si="9"/>
        <v>0.73673469387755097</v>
      </c>
      <c r="AE68">
        <v>68</v>
      </c>
      <c r="AF68">
        <v>1470</v>
      </c>
      <c r="AG68">
        <v>1400</v>
      </c>
      <c r="AH68">
        <f t="shared" si="10"/>
        <v>21.617647058823529</v>
      </c>
      <c r="AI68" s="2">
        <f t="shared" si="11"/>
        <v>4.7619047619047616E-2</v>
      </c>
      <c r="AJ68">
        <v>72</v>
      </c>
      <c r="AK68">
        <v>1470</v>
      </c>
      <c r="AL68">
        <v>1400</v>
      </c>
      <c r="AM68">
        <f t="shared" si="12"/>
        <v>20.416666666666668</v>
      </c>
      <c r="AN68" s="2">
        <f t="shared" si="13"/>
        <v>4.7619047619047616E-2</v>
      </c>
      <c r="AO68">
        <v>52</v>
      </c>
      <c r="AP68">
        <v>600</v>
      </c>
      <c r="AQ68">
        <v>550</v>
      </c>
      <c r="AR68">
        <f t="shared" si="14"/>
        <v>11.538461538461538</v>
      </c>
      <c r="AS68" s="2">
        <f t="shared" si="15"/>
        <v>8.3333333333333329E-2</v>
      </c>
      <c r="AT68">
        <v>0</v>
      </c>
      <c r="AU68" s="1">
        <v>45737.568812348924</v>
      </c>
    </row>
    <row r="69" spans="1:47" x14ac:dyDescent="0.25">
      <c r="A69" s="1">
        <v>45722</v>
      </c>
      <c r="B69" t="s">
        <v>126</v>
      </c>
      <c r="C69" t="s">
        <v>48</v>
      </c>
      <c r="D69" t="s">
        <v>49</v>
      </c>
      <c r="E69" t="s">
        <v>127</v>
      </c>
      <c r="F69" t="s">
        <v>51</v>
      </c>
      <c r="G69">
        <v>5</v>
      </c>
      <c r="H69">
        <v>2850</v>
      </c>
      <c r="I69">
        <v>100</v>
      </c>
      <c r="J69">
        <v>0</v>
      </c>
      <c r="K69">
        <v>0</v>
      </c>
      <c r="L69">
        <v>0</v>
      </c>
      <c r="M69">
        <v>310</v>
      </c>
      <c r="N69">
        <v>240</v>
      </c>
      <c r="Z69">
        <v>52.5</v>
      </c>
      <c r="AA69">
        <v>1200</v>
      </c>
      <c r="AB69">
        <v>665</v>
      </c>
      <c r="AC69">
        <f t="shared" si="8"/>
        <v>22.857142857142858</v>
      </c>
      <c r="AD69" s="2">
        <f t="shared" si="9"/>
        <v>0.44583333333333336</v>
      </c>
      <c r="AE69">
        <v>64</v>
      </c>
      <c r="AF69">
        <v>1200</v>
      </c>
      <c r="AG69">
        <v>1080</v>
      </c>
      <c r="AH69">
        <f t="shared" si="10"/>
        <v>18.75</v>
      </c>
      <c r="AI69" s="2">
        <f t="shared" si="11"/>
        <v>0.1</v>
      </c>
      <c r="AJ69">
        <v>60</v>
      </c>
      <c r="AK69">
        <v>1120</v>
      </c>
      <c r="AL69">
        <v>1070</v>
      </c>
      <c r="AM69">
        <f t="shared" si="12"/>
        <v>18.666666666666668</v>
      </c>
      <c r="AN69" s="2">
        <f t="shared" si="13"/>
        <v>4.4642857142857144E-2</v>
      </c>
      <c r="AO69">
        <v>45</v>
      </c>
      <c r="AP69">
        <v>630</v>
      </c>
      <c r="AQ69">
        <v>585</v>
      </c>
      <c r="AR69">
        <f t="shared" si="14"/>
        <v>14</v>
      </c>
      <c r="AS69" s="2">
        <f t="shared" si="15"/>
        <v>7.1428571428571425E-2</v>
      </c>
      <c r="AT69">
        <v>0</v>
      </c>
      <c r="AU69" s="1">
        <v>45737.568812335659</v>
      </c>
    </row>
    <row r="70" spans="1:47" x14ac:dyDescent="0.25">
      <c r="A70" s="1">
        <v>45722</v>
      </c>
      <c r="B70" t="s">
        <v>128</v>
      </c>
      <c r="C70" t="s">
        <v>48</v>
      </c>
      <c r="D70" t="s">
        <v>52</v>
      </c>
      <c r="E70" t="s">
        <v>127</v>
      </c>
      <c r="F70" t="s">
        <v>51</v>
      </c>
      <c r="G70">
        <v>5</v>
      </c>
      <c r="H70">
        <v>3705</v>
      </c>
      <c r="I70">
        <v>3705</v>
      </c>
      <c r="J70">
        <v>0</v>
      </c>
      <c r="K70">
        <v>0</v>
      </c>
      <c r="L70">
        <v>0</v>
      </c>
      <c r="M70">
        <v>0</v>
      </c>
      <c r="N70">
        <v>0</v>
      </c>
      <c r="Z70">
        <v>55.25</v>
      </c>
      <c r="AA70">
        <v>1250</v>
      </c>
      <c r="AB70">
        <v>730</v>
      </c>
      <c r="AC70">
        <f t="shared" si="8"/>
        <v>22.624434389140273</v>
      </c>
      <c r="AD70" s="2">
        <f t="shared" si="9"/>
        <v>0.41599999999999998</v>
      </c>
      <c r="AE70">
        <v>76</v>
      </c>
      <c r="AF70">
        <v>1250</v>
      </c>
      <c r="AG70">
        <v>1202</v>
      </c>
      <c r="AH70">
        <f t="shared" si="10"/>
        <v>16.44736842105263</v>
      </c>
      <c r="AI70" s="2">
        <f t="shared" si="11"/>
        <v>3.8399999999999997E-2</v>
      </c>
      <c r="AJ70">
        <v>76</v>
      </c>
      <c r="AK70">
        <v>1250</v>
      </c>
      <c r="AL70">
        <v>1186</v>
      </c>
      <c r="AM70">
        <f t="shared" si="12"/>
        <v>16.44736842105263</v>
      </c>
      <c r="AN70" s="2">
        <f t="shared" si="13"/>
        <v>5.1200000000000002E-2</v>
      </c>
      <c r="AO70">
        <v>48</v>
      </c>
      <c r="AP70">
        <v>630</v>
      </c>
      <c r="AQ70">
        <v>587</v>
      </c>
      <c r="AR70">
        <f t="shared" si="14"/>
        <v>13.125</v>
      </c>
      <c r="AS70" s="2">
        <f t="shared" si="15"/>
        <v>6.8253968253968247E-2</v>
      </c>
      <c r="AT70">
        <v>0</v>
      </c>
      <c r="AU70" s="1">
        <v>45737.568812330923</v>
      </c>
    </row>
    <row r="71" spans="1:47" x14ac:dyDescent="0.25">
      <c r="A71" s="1">
        <v>45722</v>
      </c>
      <c r="B71" t="s">
        <v>129</v>
      </c>
      <c r="C71" t="s">
        <v>48</v>
      </c>
      <c r="D71" t="s">
        <v>49</v>
      </c>
      <c r="E71" t="s">
        <v>127</v>
      </c>
      <c r="F71" t="s">
        <v>51</v>
      </c>
      <c r="G71">
        <v>5</v>
      </c>
      <c r="H71">
        <v>3572</v>
      </c>
      <c r="I71">
        <v>3162</v>
      </c>
      <c r="J71">
        <v>106</v>
      </c>
      <c r="K71">
        <v>0</v>
      </c>
      <c r="L71">
        <v>0</v>
      </c>
      <c r="M71">
        <v>210</v>
      </c>
      <c r="N71">
        <v>2</v>
      </c>
      <c r="Z71">
        <v>48</v>
      </c>
      <c r="AA71">
        <v>1200</v>
      </c>
      <c r="AB71">
        <v>667</v>
      </c>
      <c r="AC71">
        <f t="shared" si="8"/>
        <v>25</v>
      </c>
      <c r="AD71" s="2">
        <f t="shared" si="9"/>
        <v>0.44416666666666665</v>
      </c>
      <c r="AE71">
        <v>76</v>
      </c>
      <c r="AF71">
        <v>1200</v>
      </c>
      <c r="AG71">
        <v>1170</v>
      </c>
      <c r="AH71">
        <f t="shared" si="10"/>
        <v>15.789473684210526</v>
      </c>
      <c r="AI71" s="2">
        <f t="shared" si="11"/>
        <v>2.5000000000000001E-2</v>
      </c>
      <c r="AJ71">
        <v>72</v>
      </c>
      <c r="AK71">
        <v>1450</v>
      </c>
      <c r="AL71">
        <v>1365</v>
      </c>
      <c r="AM71">
        <f t="shared" si="12"/>
        <v>20.138888888888889</v>
      </c>
      <c r="AN71" s="2">
        <f t="shared" si="13"/>
        <v>5.8620689655172413E-2</v>
      </c>
      <c r="AO71">
        <v>45</v>
      </c>
      <c r="AP71">
        <v>400</v>
      </c>
      <c r="AQ71">
        <v>370</v>
      </c>
      <c r="AR71">
        <f t="shared" si="14"/>
        <v>8.8888888888888893</v>
      </c>
      <c r="AS71" s="2">
        <f t="shared" si="15"/>
        <v>7.4999999999999997E-2</v>
      </c>
      <c r="AT71">
        <v>0</v>
      </c>
      <c r="AU71" s="1">
        <v>45737.568812341233</v>
      </c>
    </row>
    <row r="72" spans="1:47" x14ac:dyDescent="0.25">
      <c r="A72" s="1">
        <v>45716</v>
      </c>
      <c r="B72" t="s">
        <v>130</v>
      </c>
      <c r="C72" t="s">
        <v>48</v>
      </c>
      <c r="D72" t="s">
        <v>49</v>
      </c>
      <c r="E72" t="s">
        <v>50</v>
      </c>
      <c r="F72" t="s">
        <v>51</v>
      </c>
      <c r="G72">
        <v>4</v>
      </c>
      <c r="H72">
        <v>4307</v>
      </c>
      <c r="I72">
        <v>2927</v>
      </c>
      <c r="J72">
        <v>75</v>
      </c>
      <c r="K72">
        <v>800</v>
      </c>
      <c r="L72">
        <v>0</v>
      </c>
      <c r="M72">
        <v>290</v>
      </c>
      <c r="N72">
        <v>290</v>
      </c>
      <c r="Z72">
        <v>48</v>
      </c>
      <c r="AA72">
        <v>1480</v>
      </c>
      <c r="AB72">
        <v>697</v>
      </c>
      <c r="AC72">
        <f t="shared" si="8"/>
        <v>30.833333333333332</v>
      </c>
      <c r="AD72" s="2">
        <f t="shared" si="9"/>
        <v>0.52905405405405403</v>
      </c>
      <c r="AE72">
        <v>71.25</v>
      </c>
      <c r="AF72">
        <v>1480</v>
      </c>
      <c r="AG72">
        <v>1433</v>
      </c>
      <c r="AH72">
        <f t="shared" si="10"/>
        <v>20.771929824561404</v>
      </c>
      <c r="AI72" s="2">
        <f t="shared" si="11"/>
        <v>3.1756756756756759E-2</v>
      </c>
      <c r="AJ72">
        <v>71.25</v>
      </c>
      <c r="AK72">
        <v>1735</v>
      </c>
      <c r="AL72">
        <v>1673</v>
      </c>
      <c r="AM72">
        <f t="shared" si="12"/>
        <v>24.350877192982455</v>
      </c>
      <c r="AN72" s="2">
        <f t="shared" si="13"/>
        <v>3.5734870317002884E-2</v>
      </c>
      <c r="AO72">
        <v>48</v>
      </c>
      <c r="AP72">
        <v>550</v>
      </c>
      <c r="AQ72">
        <v>504</v>
      </c>
      <c r="AR72">
        <f t="shared" si="14"/>
        <v>11.458333333333334</v>
      </c>
      <c r="AS72" s="2">
        <f t="shared" si="15"/>
        <v>8.3636363636363634E-2</v>
      </c>
      <c r="AT72">
        <v>0</v>
      </c>
      <c r="AU72" s="1">
        <v>45756.460126831873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versao final ribeirao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basile</cp:lastModifiedBy>
  <dcterms:created xsi:type="dcterms:W3CDTF">2025-06-09T13:18:41Z</dcterms:created>
  <dcterms:modified xsi:type="dcterms:W3CDTF">2025-06-09T18:02:06Z</dcterms:modified>
</cp:coreProperties>
</file>